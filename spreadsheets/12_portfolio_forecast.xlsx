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xr:revisionPtr revIDLastSave="0" documentId="8_{32D04D7F-6603-49EB-8024-6AD10A751AD3}" xr6:coauthVersionLast="47" xr6:coauthVersionMax="47" xr10:uidLastSave="{00000000-0000-0000-0000-000000000000}"/>
  <bookViews>
    <workbookView xWindow="-108" yWindow="-108" windowWidth="23256" windowHeight="12456" firstSheet="1" activeTab="2" xr2:uid="{9DB8E722-BBE3-4DF5-9E2D-BBF572B6F9A5}"/>
  </bookViews>
  <sheets>
    <sheet name="Rentabilidades" sheetId="1" r:id="rId1"/>
    <sheet name="Pesos" sheetId="4" r:id="rId2"/>
    <sheet name="Resultados por portafoli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4" l="1"/>
  <c r="C10" i="4"/>
  <c r="X10" i="4"/>
  <c r="AA10" i="4"/>
  <c r="AC10" i="4"/>
  <c r="AF10" i="4"/>
  <c r="AG10" i="4"/>
  <c r="AH10" i="4"/>
  <c r="AJ10" i="4"/>
  <c r="BD10" i="4"/>
  <c r="BE10" i="4"/>
  <c r="BF10" i="4"/>
  <c r="BG10" i="4"/>
  <c r="BJ10" i="4"/>
  <c r="BK10" i="4"/>
  <c r="BL10" i="4"/>
  <c r="BO10" i="4"/>
  <c r="D8" i="4"/>
  <c r="E8" i="4"/>
  <c r="G8" i="4"/>
  <c r="K8" i="4"/>
  <c r="N8" i="4"/>
  <c r="O8" i="4"/>
  <c r="W8" i="4"/>
  <c r="Y8" i="4"/>
  <c r="Z8" i="4"/>
  <c r="AB8" i="4"/>
  <c r="AD8" i="4"/>
  <c r="AE8" i="4"/>
  <c r="AL8" i="4"/>
  <c r="AM8" i="4"/>
  <c r="AP8" i="4"/>
  <c r="AR8" i="4"/>
  <c r="AS8" i="4"/>
  <c r="AT8" i="4"/>
  <c r="AU8" i="4"/>
  <c r="AV8" i="4"/>
  <c r="AW8" i="4"/>
  <c r="AX8" i="4"/>
  <c r="AY8" i="4"/>
  <c r="AZ8" i="4"/>
  <c r="BB8" i="4"/>
  <c r="BH8" i="4"/>
  <c r="BI8" i="4"/>
  <c r="BM8" i="4"/>
  <c r="BN8" i="4"/>
  <c r="BP8" i="4"/>
  <c r="BQ8" i="4"/>
  <c r="BR8" i="4"/>
  <c r="BS8" i="4"/>
  <c r="BT8" i="4"/>
  <c r="F9" i="4"/>
  <c r="F10" i="4" s="1"/>
  <c r="H9" i="4"/>
  <c r="H10" i="4" s="1"/>
  <c r="I9" i="4"/>
  <c r="I10" i="4" s="1"/>
  <c r="L9" i="4"/>
  <c r="L10" i="4" s="1"/>
  <c r="M9" i="4"/>
  <c r="M10" i="4" s="1"/>
  <c r="P9" i="4"/>
  <c r="P10" i="4" s="1"/>
  <c r="Q9" i="4"/>
  <c r="Q10" i="4" s="1"/>
  <c r="R9" i="4"/>
  <c r="R10" i="4" s="1"/>
  <c r="S9" i="4"/>
  <c r="S10" i="4" s="1"/>
  <c r="T9" i="4"/>
  <c r="T10" i="4" s="1"/>
  <c r="U9" i="4"/>
  <c r="U10" i="4" s="1"/>
  <c r="V9" i="4"/>
  <c r="V10" i="4" s="1"/>
  <c r="X9" i="4"/>
  <c r="AA9" i="4"/>
  <c r="AC9" i="4"/>
  <c r="AF9" i="4"/>
  <c r="AG9" i="4"/>
  <c r="AH9" i="4"/>
  <c r="AI9" i="4"/>
  <c r="AI10" i="4" s="1"/>
  <c r="AJ9" i="4"/>
  <c r="AK9" i="4"/>
  <c r="AK10" i="4" s="1"/>
  <c r="AN9" i="4"/>
  <c r="AN10" i="4" s="1"/>
  <c r="AO9" i="4"/>
  <c r="AO10" i="4" s="1"/>
  <c r="AQ9" i="4"/>
  <c r="AQ10" i="4" s="1"/>
  <c r="BA9" i="4"/>
  <c r="BA10" i="4" s="1"/>
  <c r="BC9" i="4"/>
  <c r="BC10" i="4" s="1"/>
  <c r="BD9" i="4"/>
  <c r="BE9" i="4"/>
  <c r="BF9" i="4"/>
  <c r="BG9" i="4"/>
  <c r="BJ9" i="4"/>
  <c r="BK9" i="4"/>
  <c r="BL9" i="4"/>
  <c r="BO9" i="4"/>
  <c r="C9" i="4"/>
  <c r="C8" i="3"/>
  <c r="H8" i="3"/>
  <c r="D7" i="3"/>
  <c r="D5" i="3"/>
  <c r="D6" i="3"/>
  <c r="D4" i="3"/>
  <c r="B8" i="3"/>
  <c r="C5" i="3"/>
  <c r="C6" i="3"/>
  <c r="C7" i="3"/>
  <c r="C4" i="3"/>
  <c r="B5" i="3"/>
  <c r="B6" i="3"/>
  <c r="B7" i="3"/>
  <c r="B4" i="3"/>
  <c r="H4" i="3"/>
  <c r="H5" i="3"/>
  <c r="H6" i="3"/>
  <c r="H7" i="3"/>
  <c r="D8" i="3" l="1"/>
  <c r="E5" i="3"/>
  <c r="E6" i="3"/>
  <c r="E4" i="3"/>
  <c r="E7" i="3"/>
  <c r="G4" i="3"/>
  <c r="G5" i="3"/>
  <c r="G7" i="3"/>
  <c r="G6" i="3"/>
  <c r="F5" i="3"/>
  <c r="F7" i="3"/>
  <c r="F6" i="3"/>
  <c r="F4" i="3"/>
  <c r="E8" i="3" l="1"/>
  <c r="G8" i="3"/>
  <c r="F8" i="3"/>
</calcChain>
</file>

<file path=xl/sharedStrings.xml><?xml version="1.0" encoding="utf-8"?>
<sst xmlns="http://schemas.openxmlformats.org/spreadsheetml/2006/main" count="182" uniqueCount="90">
  <si>
    <t>Matriz de rentabilidad</t>
  </si>
  <si>
    <t>Activo</t>
  </si>
  <si>
    <t>Rentabilidad</t>
  </si>
  <si>
    <t>Amadeus</t>
  </si>
  <si>
    <t>BBVA</t>
  </si>
  <si>
    <t>Banco Santander</t>
  </si>
  <si>
    <t>Ferrovial</t>
  </si>
  <si>
    <t>Grifols</t>
  </si>
  <si>
    <t>Iberdrola</t>
  </si>
  <si>
    <t>Inditex</t>
  </si>
  <si>
    <t>Indra Sistemas</t>
  </si>
  <si>
    <t>Repsol</t>
  </si>
  <si>
    <t>Telefónica</t>
  </si>
  <si>
    <t>España</t>
  </si>
  <si>
    <t>AXA</t>
  </si>
  <si>
    <t>Airbus</t>
  </si>
  <si>
    <t>BNP Paribas</t>
  </si>
  <si>
    <t>Danone</t>
  </si>
  <si>
    <t>Dassault Aviation</t>
  </si>
  <si>
    <t>L'Oréal</t>
  </si>
  <si>
    <t>LVMH</t>
  </si>
  <si>
    <t>Sanofi</t>
  </si>
  <si>
    <t>Schneider Electric</t>
  </si>
  <si>
    <t>TotalEnergies</t>
  </si>
  <si>
    <t>Francia</t>
  </si>
  <si>
    <t>Alfa</t>
  </si>
  <si>
    <t>América Móvil</t>
  </si>
  <si>
    <t>Banorte</t>
  </si>
  <si>
    <t>Cemex</t>
  </si>
  <si>
    <t>FEMSA</t>
  </si>
  <si>
    <t>GAP</t>
  </si>
  <si>
    <t>Grupo Bimbo</t>
  </si>
  <si>
    <t>Grupo México</t>
  </si>
  <si>
    <t>Televisa</t>
  </si>
  <si>
    <t>Walmart de México</t>
  </si>
  <si>
    <t>Mexico</t>
  </si>
  <si>
    <t>Adidas</t>
  </si>
  <si>
    <t>Allianz</t>
  </si>
  <si>
    <t>BASF</t>
  </si>
  <si>
    <t>BMW</t>
  </si>
  <si>
    <t>Deutsche Telekom</t>
  </si>
  <si>
    <t>Infineon</t>
  </si>
  <si>
    <t>Rheinmetall AG</t>
  </si>
  <si>
    <t>SAP</t>
  </si>
  <si>
    <t>Siemens</t>
  </si>
  <si>
    <t>Volkswagen</t>
  </si>
  <si>
    <t>Alemania</t>
  </si>
  <si>
    <t>Ambev</t>
  </si>
  <si>
    <t>Bradesco</t>
  </si>
  <si>
    <t>Eletrobras</t>
  </si>
  <si>
    <t>Itaú Unibanco</t>
  </si>
  <si>
    <t>Magazine Luiza</t>
  </si>
  <si>
    <t>PendienteSuzano</t>
  </si>
  <si>
    <t>Petrobras</t>
  </si>
  <si>
    <t>TOTVS</t>
  </si>
  <si>
    <t>Vale</t>
  </si>
  <si>
    <t>WEG S.A.</t>
  </si>
  <si>
    <t>Brasil</t>
  </si>
  <si>
    <t>Alphabet</t>
  </si>
  <si>
    <t>Amazon</t>
  </si>
  <si>
    <t>Apple</t>
  </si>
  <si>
    <t>Berkshire Hathaway</t>
  </si>
  <si>
    <t>Johnson &amp; Johnson</t>
  </si>
  <si>
    <t>Lockheed Martin</t>
  </si>
  <si>
    <t>Microsoft</t>
  </si>
  <si>
    <t>NVIDIA</t>
  </si>
  <si>
    <t>Tesla</t>
  </si>
  <si>
    <t>UnitedHealth</t>
  </si>
  <si>
    <t>EE.UU.</t>
  </si>
  <si>
    <t>Aguas Andinas</t>
  </si>
  <si>
    <t>Banco de Chile</t>
  </si>
  <si>
    <t>Cencosud</t>
  </si>
  <si>
    <t>Colbún</t>
  </si>
  <si>
    <t>Enel Chile</t>
  </si>
  <si>
    <t>Entel</t>
  </si>
  <si>
    <t>Falabella</t>
  </si>
  <si>
    <t>LATAM Airlines</t>
  </si>
  <si>
    <t>Parque Arauco</t>
  </si>
  <si>
    <t>SQM</t>
  </si>
  <si>
    <t>Chile</t>
  </si>
  <si>
    <t>P2</t>
  </si>
  <si>
    <t>Min_Varianza</t>
  </si>
  <si>
    <t>Max_Sharpe</t>
  </si>
  <si>
    <t>P5</t>
  </si>
  <si>
    <t>P4 Conservador</t>
  </si>
  <si>
    <t>Portafolio</t>
  </si>
  <si>
    <t>Rentabilidad Geometrica</t>
  </si>
  <si>
    <t>Matriz de pesos</t>
  </si>
  <si>
    <t>Matriz resultados</t>
  </si>
  <si>
    <t xml:space="preserve"> P4 Agresivo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</si>
</sst>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164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10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0" fillId="0" borderId="0" xfId="1" applyNumberFormat="1" applyFont="1"/>
    <xf numFmtId="10" fontId="0" fillId="0" borderId="1" xfId="1" applyNumberFormat="1" applyFont="1" applyBorder="1"/>
    <xf numFmtId="164" fontId="3" fillId="0" borderId="2" xfId="0" applyNumberFormat="1" applyFont="1" applyBorder="1" applyAlignment="1">
      <alignment horizontal="center" vertical="top"/>
    </xf>
    <xf numFmtId="10" fontId="0" fillId="0" borderId="1" xfId="1" applyNumberFormat="1" applyFont="1" applyBorder="1" applyAlignment="1">
      <alignment horizontal="center" vertical="center"/>
    </xf>
    <xf numFmtId="10" fontId="0" fillId="0" borderId="1" xfId="1" applyNumberFormat="1" applyFont="1" applyBorder="1" applyAlignment="1">
      <alignment horizontal="right"/>
    </xf>
    <xf numFmtId="10" fontId="0" fillId="2" borderId="1" xfId="1" applyNumberFormat="1" applyFont="1" applyFill="1" applyBorder="1"/>
    <xf numFmtId="10" fontId="0" fillId="3" borderId="1" xfId="1" applyNumberFormat="1" applyFont="1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16B89-8544-451D-A8D1-2A1799A86D7E}">
  <dimension ref="A1:BS7"/>
  <sheetViews>
    <sheetView workbookViewId="0">
      <selection activeCell="BS4" sqref="BS4"/>
    </sheetView>
  </sheetViews>
  <sheetFormatPr baseColWidth="10" defaultRowHeight="14.4" x14ac:dyDescent="0.3"/>
  <cols>
    <col min="1" max="1" width="18.21875" bestFit="1" customWidth="1"/>
  </cols>
  <sheetData>
    <row r="1" spans="1:71" x14ac:dyDescent="0.3">
      <c r="A1" t="s">
        <v>0</v>
      </c>
      <c r="B1" t="s">
        <v>1</v>
      </c>
    </row>
    <row r="2" spans="1:71" x14ac:dyDescent="0.3">
      <c r="B2" s="3" t="s">
        <v>13</v>
      </c>
      <c r="C2" s="3"/>
      <c r="D2" s="3"/>
      <c r="E2" s="3"/>
      <c r="F2" s="3"/>
      <c r="G2" s="3"/>
      <c r="H2" s="3"/>
      <c r="I2" s="3"/>
      <c r="J2" s="3"/>
      <c r="K2" s="3"/>
      <c r="L2" s="3" t="s">
        <v>24</v>
      </c>
      <c r="M2" s="3"/>
      <c r="N2" s="3"/>
      <c r="O2" s="3"/>
      <c r="P2" s="3"/>
      <c r="Q2" s="3"/>
      <c r="R2" s="3"/>
      <c r="S2" s="3"/>
      <c r="T2" s="3"/>
      <c r="U2" s="3"/>
      <c r="V2" s="3" t="s">
        <v>35</v>
      </c>
      <c r="W2" s="3"/>
      <c r="X2" s="3"/>
      <c r="Y2" s="3"/>
      <c r="Z2" s="3"/>
      <c r="AA2" s="3"/>
      <c r="AB2" s="3"/>
      <c r="AC2" s="3"/>
      <c r="AD2" s="3"/>
      <c r="AE2" s="3"/>
      <c r="AF2" s="3" t="s">
        <v>46</v>
      </c>
      <c r="AG2" s="3"/>
      <c r="AH2" s="3"/>
      <c r="AI2" s="3"/>
      <c r="AJ2" s="3"/>
      <c r="AK2" s="3"/>
      <c r="AL2" s="3"/>
      <c r="AM2" s="3"/>
      <c r="AN2" s="3"/>
      <c r="AO2" s="3"/>
      <c r="AP2" s="3" t="s">
        <v>57</v>
      </c>
      <c r="AQ2" s="3"/>
      <c r="AR2" s="3"/>
      <c r="AS2" s="3"/>
      <c r="AT2" s="3"/>
      <c r="AU2" s="3"/>
      <c r="AV2" s="3"/>
      <c r="AW2" s="3"/>
      <c r="AX2" s="3"/>
      <c r="AY2" s="3"/>
      <c r="AZ2" s="3" t="s">
        <v>68</v>
      </c>
      <c r="BA2" s="3"/>
      <c r="BB2" s="3"/>
      <c r="BC2" s="3"/>
      <c r="BD2" s="3"/>
      <c r="BE2" s="3"/>
      <c r="BF2" s="3"/>
      <c r="BG2" s="3"/>
      <c r="BH2" s="3"/>
      <c r="BI2" s="3"/>
      <c r="BJ2" s="3" t="s">
        <v>79</v>
      </c>
      <c r="BK2" s="3"/>
      <c r="BL2" s="3"/>
      <c r="BM2" s="3"/>
      <c r="BN2" s="3"/>
      <c r="BO2" s="3"/>
      <c r="BP2" s="3"/>
      <c r="BQ2" s="3"/>
      <c r="BR2" s="3"/>
      <c r="BS2" s="3"/>
    </row>
    <row r="3" spans="1:71" x14ac:dyDescent="0.3">
      <c r="A3" s="4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2" t="s">
        <v>20</v>
      </c>
      <c r="S3" s="2" t="s">
        <v>21</v>
      </c>
      <c r="T3" s="2" t="s">
        <v>22</v>
      </c>
      <c r="U3" s="2" t="s">
        <v>23</v>
      </c>
      <c r="V3" s="2" t="s">
        <v>25</v>
      </c>
      <c r="W3" s="2" t="s">
        <v>26</v>
      </c>
      <c r="X3" s="2" t="s">
        <v>27</v>
      </c>
      <c r="Y3" s="2" t="s">
        <v>28</v>
      </c>
      <c r="Z3" s="2" t="s">
        <v>29</v>
      </c>
      <c r="AA3" s="2" t="s">
        <v>30</v>
      </c>
      <c r="AB3" s="2" t="s">
        <v>31</v>
      </c>
      <c r="AC3" s="2" t="s">
        <v>32</v>
      </c>
      <c r="AD3" s="2" t="s">
        <v>33</v>
      </c>
      <c r="AE3" s="2" t="s">
        <v>34</v>
      </c>
      <c r="AF3" s="2" t="s">
        <v>36</v>
      </c>
      <c r="AG3" s="2" t="s">
        <v>37</v>
      </c>
      <c r="AH3" s="2" t="s">
        <v>38</v>
      </c>
      <c r="AI3" s="2" t="s">
        <v>39</v>
      </c>
      <c r="AJ3" s="2" t="s">
        <v>40</v>
      </c>
      <c r="AK3" s="2" t="s">
        <v>41</v>
      </c>
      <c r="AL3" s="2" t="s">
        <v>42</v>
      </c>
      <c r="AM3" s="2" t="s">
        <v>43</v>
      </c>
      <c r="AN3" s="2" t="s">
        <v>44</v>
      </c>
      <c r="AO3" s="2" t="s">
        <v>45</v>
      </c>
      <c r="AP3" s="2" t="s">
        <v>47</v>
      </c>
      <c r="AQ3" s="2" t="s">
        <v>48</v>
      </c>
      <c r="AR3" s="2" t="s">
        <v>49</v>
      </c>
      <c r="AS3" s="2" t="s">
        <v>50</v>
      </c>
      <c r="AT3" s="2" t="s">
        <v>51</v>
      </c>
      <c r="AU3" s="2" t="s">
        <v>52</v>
      </c>
      <c r="AV3" s="2" t="s">
        <v>53</v>
      </c>
      <c r="AW3" s="2" t="s">
        <v>54</v>
      </c>
      <c r="AX3" s="2" t="s">
        <v>55</v>
      </c>
      <c r="AY3" s="2" t="s">
        <v>56</v>
      </c>
      <c r="AZ3" s="2" t="s">
        <v>58</v>
      </c>
      <c r="BA3" s="2" t="s">
        <v>59</v>
      </c>
      <c r="BB3" s="2" t="s">
        <v>60</v>
      </c>
      <c r="BC3" s="2" t="s">
        <v>61</v>
      </c>
      <c r="BD3" s="2" t="s">
        <v>62</v>
      </c>
      <c r="BE3" s="2" t="s">
        <v>63</v>
      </c>
      <c r="BF3" s="2" t="s">
        <v>64</v>
      </c>
      <c r="BG3" s="2" t="s">
        <v>65</v>
      </c>
      <c r="BH3" s="2" t="s">
        <v>66</v>
      </c>
      <c r="BI3" s="2" t="s">
        <v>67</v>
      </c>
      <c r="BJ3" s="2" t="s">
        <v>69</v>
      </c>
      <c r="BK3" s="2" t="s">
        <v>70</v>
      </c>
      <c r="BL3" s="2" t="s">
        <v>71</v>
      </c>
      <c r="BM3" s="2" t="s">
        <v>72</v>
      </c>
      <c r="BN3" s="2" t="s">
        <v>73</v>
      </c>
      <c r="BO3" s="2" t="s">
        <v>74</v>
      </c>
      <c r="BP3" s="2" t="s">
        <v>75</v>
      </c>
      <c r="BQ3" s="2" t="s">
        <v>76</v>
      </c>
      <c r="BR3" s="2" t="s">
        <v>77</v>
      </c>
      <c r="BS3" s="2" t="s">
        <v>78</v>
      </c>
    </row>
    <row r="4" spans="1:71" x14ac:dyDescent="0.3">
      <c r="A4" s="1">
        <v>45658</v>
      </c>
      <c r="B4" s="6">
        <v>4.0235339495395157E-2</v>
      </c>
      <c r="C4" s="6">
        <v>0.1562041047803687</v>
      </c>
      <c r="D4" s="6">
        <v>0.1060547455487055</v>
      </c>
      <c r="E4" s="6">
        <v>2.0362106269987589E-2</v>
      </c>
      <c r="F4" s="6">
        <v>-9.7761836397573368E-2</v>
      </c>
      <c r="G4" s="6">
        <v>2.5242653156297819E-2</v>
      </c>
      <c r="H4" s="6">
        <v>6.019800366748617E-2</v>
      </c>
      <c r="I4" s="6">
        <v>8.2561564031066709E-2</v>
      </c>
      <c r="J4" s="6">
        <v>-3.6589387824343143E-2</v>
      </c>
      <c r="K4" s="6">
        <v>3.5023758621047112E-2</v>
      </c>
      <c r="L4" s="6">
        <v>6.5685223269053794E-2</v>
      </c>
      <c r="M4" s="6">
        <v>7.6707282789687276E-2</v>
      </c>
      <c r="N4" s="6">
        <v>0.1041439693273632</v>
      </c>
      <c r="O4" s="6">
        <v>3.5599527767357302E-2</v>
      </c>
      <c r="P4" s="6">
        <v>9.9358814795776199E-2</v>
      </c>
      <c r="Q4" s="6">
        <v>4.7556634770469827E-2</v>
      </c>
      <c r="R4" s="6">
        <v>0.1109819120615162</v>
      </c>
      <c r="S4" s="6">
        <v>0.1077047723553857</v>
      </c>
      <c r="T4" s="6">
        <v>1.830386211314048E-2</v>
      </c>
      <c r="U4" s="6">
        <v>5.5043095132185228E-2</v>
      </c>
      <c r="V4" s="6">
        <v>0.1166734862082482</v>
      </c>
      <c r="W4" s="6">
        <v>-2.118724620572969E-2</v>
      </c>
      <c r="X4" s="6">
        <v>9.3777188381620372E-2</v>
      </c>
      <c r="Y4" s="6">
        <v>4.4266077517416742E-2</v>
      </c>
      <c r="Z4" s="6">
        <v>-9.0340870701603702E-3</v>
      </c>
      <c r="AA4" s="6">
        <v>4.4022772860497147E-2</v>
      </c>
      <c r="AB4" s="6">
        <v>-1.9152394829313489E-2</v>
      </c>
      <c r="AC4" s="6">
        <v>1.8660493236237079E-2</v>
      </c>
      <c r="AD4" s="6">
        <v>0.12881700239600799</v>
      </c>
      <c r="AE4" s="6">
        <v>-1.6535403770758079E-2</v>
      </c>
      <c r="AF4" s="6">
        <v>7.3655367679789016E-2</v>
      </c>
      <c r="AG4" s="6">
        <v>6.0644581562930067E-2</v>
      </c>
      <c r="AH4" s="6">
        <v>9.3252631876148059E-2</v>
      </c>
      <c r="AI4" s="6">
        <v>-4.8230490645977779E-3</v>
      </c>
      <c r="AJ4" s="6">
        <v>0.10966305994713391</v>
      </c>
      <c r="AK4" s="6">
        <v>2.0645304967421219E-2</v>
      </c>
      <c r="AL4" s="6">
        <v>0.20108266423275301</v>
      </c>
      <c r="AM4" s="6">
        <v>0.1277487168412971</v>
      </c>
      <c r="AN4" s="6">
        <v>8.9973678169319143E-2</v>
      </c>
      <c r="AO4" s="6">
        <v>0.1066679820464233</v>
      </c>
      <c r="AP4" s="6">
        <v>-2.4048992642281279E-3</v>
      </c>
      <c r="AQ4" s="6">
        <v>4.6364140273752998E-2</v>
      </c>
      <c r="AR4" s="6">
        <v>8.0804472026041976E-2</v>
      </c>
      <c r="AS4" s="6">
        <v>9.6058850821391109E-2</v>
      </c>
      <c r="AT4" s="6">
        <v>0.13775324865916061</v>
      </c>
      <c r="AU4" s="6">
        <v>9.718340421293073E-2</v>
      </c>
      <c r="AV4" s="6">
        <v>7.9591707487810956E-2</v>
      </c>
      <c r="AW4" s="6">
        <v>0.2497737726996585</v>
      </c>
      <c r="AX4" s="6">
        <v>1.895343771610907E-3</v>
      </c>
      <c r="AY4" s="6">
        <v>4.3554581516678223E-2</v>
      </c>
      <c r="AZ4" s="6">
        <v>7.6030408424581183E-2</v>
      </c>
      <c r="BA4" s="6">
        <v>8.0074235169960331E-2</v>
      </c>
      <c r="BB4" s="6">
        <v>-5.9307643600295903E-2</v>
      </c>
      <c r="BC4" s="6">
        <v>3.338889131430163E-2</v>
      </c>
      <c r="BD4" s="6">
        <v>5.0757271929283518E-2</v>
      </c>
      <c r="BE4" s="6">
        <v>-4.22132257227942E-2</v>
      </c>
      <c r="BF4" s="6">
        <v>-1.5396711208986121E-2</v>
      </c>
      <c r="BG4" s="6">
        <v>-0.1118578422376271</v>
      </c>
      <c r="BH4" s="6">
        <v>1.880188974377922E-3</v>
      </c>
      <c r="BI4" s="6">
        <v>7.3737867704093643E-2</v>
      </c>
      <c r="BJ4" s="6">
        <v>4.5684982595247788E-2</v>
      </c>
      <c r="BK4" s="6">
        <v>7.2413221509048428E-2</v>
      </c>
      <c r="BL4" s="6">
        <v>0.12783336259118169</v>
      </c>
      <c r="BM4" s="6">
        <v>7.1476406597514336E-2</v>
      </c>
      <c r="BN4" s="6">
        <v>1.3817136118313341E-2</v>
      </c>
      <c r="BO4" s="6">
        <v>6.5225556261131065E-2</v>
      </c>
      <c r="BP4" s="6">
        <v>5.6684159151523611E-2</v>
      </c>
      <c r="BQ4" s="6">
        <v>7.9089835729871716E-2</v>
      </c>
      <c r="BR4" s="6">
        <v>5.8604897121894199E-2</v>
      </c>
      <c r="BS4" s="6">
        <v>5.7082515392035453E-2</v>
      </c>
    </row>
    <row r="5" spans="1:71" x14ac:dyDescent="0.3">
      <c r="A5" s="1">
        <v>45689</v>
      </c>
      <c r="B5" s="6">
        <v>3.1402621037602871E-2</v>
      </c>
      <c r="C5" s="6">
        <v>0.14896594140931699</v>
      </c>
      <c r="D5" s="6">
        <v>0.2258794740058167</v>
      </c>
      <c r="E5" s="6">
        <v>3.3724415373423577E-2</v>
      </c>
      <c r="F5" s="6">
        <v>0.24696559112872371</v>
      </c>
      <c r="G5" s="6">
        <v>2.2472790575546239E-2</v>
      </c>
      <c r="H5" s="6">
        <v>-1.375116481605765E-2</v>
      </c>
      <c r="I5" s="6">
        <v>0.1221460678484689</v>
      </c>
      <c r="J5" s="6">
        <v>0.12848465059181099</v>
      </c>
      <c r="K5" s="6">
        <v>8.8936713968556846E-2</v>
      </c>
      <c r="L5" s="6">
        <v>2.1326095171351488E-2</v>
      </c>
      <c r="M5" s="6">
        <v>-8.5331790384578013E-3</v>
      </c>
      <c r="N5" s="6">
        <v>0.1031364625657968</v>
      </c>
      <c r="O5" s="6">
        <v>2.0244097163428031E-2</v>
      </c>
      <c r="P5" s="6">
        <v>0.1233789671694126</v>
      </c>
      <c r="Q5" s="6">
        <v>-1.546065969855096E-2</v>
      </c>
      <c r="R5" s="6">
        <v>-1.229991398995805E-2</v>
      </c>
      <c r="S5" s="6">
        <v>-3.8323810719648952E-4</v>
      </c>
      <c r="T5" s="6">
        <v>-4.7578406787153041E-2</v>
      </c>
      <c r="U5" s="6">
        <v>3.9263845377973262E-2</v>
      </c>
      <c r="V5" s="6">
        <v>3.6621414897667758E-2</v>
      </c>
      <c r="W5" s="6">
        <v>1.558100324689587E-2</v>
      </c>
      <c r="X5" s="6">
        <v>1.0236783060349541E-2</v>
      </c>
      <c r="Y5" s="6">
        <v>3.5316714691886707E-2</v>
      </c>
      <c r="Z5" s="6">
        <v>9.1223255390542463E-2</v>
      </c>
      <c r="AA5" s="6">
        <v>8.1254856326522951E-3</v>
      </c>
      <c r="AB5" s="6">
        <v>1.8791061426589949E-2</v>
      </c>
      <c r="AC5" s="6">
        <v>-4.4991258812778011E-2</v>
      </c>
      <c r="AD5" s="6">
        <v>2.5127024626445959E-2</v>
      </c>
      <c r="AE5" s="6">
        <v>1.306725313860921E-2</v>
      </c>
      <c r="AF5" s="6">
        <v>-3.4727085730583009E-2</v>
      </c>
      <c r="AG5" s="6">
        <v>4.9335211328847869E-2</v>
      </c>
      <c r="AH5" s="6">
        <v>5.4281713781799683E-2</v>
      </c>
      <c r="AI5" s="6">
        <v>6.5253909648301911E-2</v>
      </c>
      <c r="AJ5" s="6">
        <v>7.1565564511356677E-2</v>
      </c>
      <c r="AK5" s="6">
        <v>0.1023610720488393</v>
      </c>
      <c r="AL5" s="6">
        <v>0.28698681730135578</v>
      </c>
      <c r="AM5" s="6">
        <v>-1.198969881740602E-2</v>
      </c>
      <c r="AN5" s="6">
        <v>6.4176966360018281E-2</v>
      </c>
      <c r="AO5" s="6">
        <v>5.3875108294683748E-2</v>
      </c>
      <c r="AP5" s="6">
        <v>9.6128885382530851E-2</v>
      </c>
      <c r="AQ5" s="6">
        <v>-4.5474549100838917E-2</v>
      </c>
      <c r="AR5" s="6">
        <v>5.734312684821985E-2</v>
      </c>
      <c r="AS5" s="6">
        <v>-5.6897515891083807E-2</v>
      </c>
      <c r="AT5" s="6">
        <v>-4.2443089463841101E-2</v>
      </c>
      <c r="AU5" s="6">
        <v>-0.11674196453418161</v>
      </c>
      <c r="AV5" s="6">
        <v>-4.782214648390689E-2</v>
      </c>
      <c r="AW5" s="6">
        <v>2.6080768424869651E-2</v>
      </c>
      <c r="AX5" s="6">
        <v>1.7929560323175719E-2</v>
      </c>
      <c r="AY5" s="6">
        <v>-0.1281472862367064</v>
      </c>
      <c r="AZ5" s="6">
        <v>-0.1807739735161791</v>
      </c>
      <c r="BA5" s="6">
        <v>-0.1130190481296353</v>
      </c>
      <c r="BB5" s="6">
        <v>2.4444467812869679E-2</v>
      </c>
      <c r="BC5" s="6">
        <v>9.1993580005508557E-2</v>
      </c>
      <c r="BD5" s="6">
        <v>8.1199801332303853E-2</v>
      </c>
      <c r="BE5" s="6">
        <v>-2.7549659802733339E-2</v>
      </c>
      <c r="BF5" s="6">
        <v>-4.4511998737624278E-2</v>
      </c>
      <c r="BG5" s="6">
        <v>3.9598580589062023E-2</v>
      </c>
      <c r="BH5" s="6">
        <v>-0.32279455501876969</v>
      </c>
      <c r="BI5" s="6">
        <v>-0.13293909641282989</v>
      </c>
      <c r="BJ5" s="6">
        <v>2.916644551107675E-2</v>
      </c>
      <c r="BK5" s="6">
        <v>2.2454609232391169E-2</v>
      </c>
      <c r="BL5" s="6">
        <v>1.192857008973432E-2</v>
      </c>
      <c r="BM5" s="6">
        <v>4.4379335248717233E-2</v>
      </c>
      <c r="BN5" s="6">
        <v>0.1004065597478542</v>
      </c>
      <c r="BO5" s="6">
        <v>-1.8203290926307399E-2</v>
      </c>
      <c r="BP5" s="6">
        <v>1.702809905000292E-2</v>
      </c>
      <c r="BQ5" s="6">
        <v>3.5694510471303051E-2</v>
      </c>
      <c r="BR5" s="6">
        <v>2.6590156144757581E-2</v>
      </c>
      <c r="BS5" s="6">
        <v>-5.3237458092096013E-2</v>
      </c>
    </row>
    <row r="6" spans="1:71" x14ac:dyDescent="0.3">
      <c r="A6" s="1">
        <v>45717</v>
      </c>
      <c r="B6" s="6">
        <v>-3.100375683734689E-2</v>
      </c>
      <c r="C6" s="6">
        <v>-2.2074241613100919E-2</v>
      </c>
      <c r="D6" s="6">
        <v>-4.1874643969993987E-3</v>
      </c>
      <c r="E6" s="6">
        <v>-3.9052574373793163E-2</v>
      </c>
      <c r="F6" s="6">
        <v>-0.2588487885395116</v>
      </c>
      <c r="G6" s="6">
        <v>6.8562678852528952E-2</v>
      </c>
      <c r="H6" s="6">
        <v>-0.12586860128697769</v>
      </c>
      <c r="I6" s="6">
        <v>0.2427965071975329</v>
      </c>
      <c r="J6" s="6">
        <v>-8.1269639855586747E-4</v>
      </c>
      <c r="K6" s="6">
        <v>1.2247402543115109E-2</v>
      </c>
      <c r="L6" s="6">
        <v>5.1026319656751792E-2</v>
      </c>
      <c r="M6" s="6">
        <v>-1.777925688708756E-2</v>
      </c>
      <c r="N6" s="6">
        <v>5.40961943678651E-2</v>
      </c>
      <c r="O6" s="6">
        <v>2.8348300845671911E-2</v>
      </c>
      <c r="P6" s="6">
        <v>0.21335560379073551</v>
      </c>
      <c r="Q6" s="6">
        <v>-2.9174966812980908E-2</v>
      </c>
      <c r="R6" s="6">
        <v>-0.1951536334725128</v>
      </c>
      <c r="S6" s="6">
        <v>-2.3658294266268469E-2</v>
      </c>
      <c r="T6" s="6">
        <v>-0.1044347503505097</v>
      </c>
      <c r="U6" s="6">
        <v>3.2019102195204707E-2</v>
      </c>
      <c r="V6" s="6">
        <v>-0.33699792053057609</v>
      </c>
      <c r="W6" s="6">
        <v>-7.0293677935276953E-4</v>
      </c>
      <c r="X6" s="6">
        <v>-2.2547968745180121E-2</v>
      </c>
      <c r="Y6" s="6">
        <v>-9.8548901135996292E-2</v>
      </c>
      <c r="Z6" s="6">
        <v>3.069170061350265E-2</v>
      </c>
      <c r="AA6" s="6">
        <v>-1.961861751649574E-2</v>
      </c>
      <c r="AB6" s="6">
        <v>2.887577642061997E-3</v>
      </c>
      <c r="AC6" s="6">
        <v>6.6506689061462412E-2</v>
      </c>
      <c r="AD6" s="6">
        <v>-0.1324685664272906</v>
      </c>
      <c r="AE6" s="6">
        <v>3.3797951712184887E-2</v>
      </c>
      <c r="AF6" s="6">
        <v>-0.12763030021455621</v>
      </c>
      <c r="AG6" s="6">
        <v>6.3913903837400379E-2</v>
      </c>
      <c r="AH6" s="6">
        <v>-6.9740599228472103E-2</v>
      </c>
      <c r="AI6" s="6">
        <v>-0.1298942219683755</v>
      </c>
      <c r="AJ6" s="6">
        <v>-1.536927240911601E-2</v>
      </c>
      <c r="AK6" s="6">
        <v>-0.14644160643708939</v>
      </c>
      <c r="AL6" s="6">
        <v>0.27039486276982611</v>
      </c>
      <c r="AM6" s="6">
        <v>-8.2055012807541516E-2</v>
      </c>
      <c r="AN6" s="6">
        <v>-1.982524928399693E-2</v>
      </c>
      <c r="AO6" s="6">
        <v>-0.1067490453416783</v>
      </c>
      <c r="AP6" s="6">
        <v>9.9615594515548841E-2</v>
      </c>
      <c r="AQ6" s="6">
        <v>0.12133147670339289</v>
      </c>
      <c r="AR6" s="6">
        <v>6.5078061101799131E-2</v>
      </c>
      <c r="AS6" s="6">
        <v>7.9099451252358691E-2</v>
      </c>
      <c r="AT6" s="6">
        <v>0.35036128414607998</v>
      </c>
      <c r="AU6" s="6">
        <v>-3.3865638537120983E-2</v>
      </c>
      <c r="AV6" s="6">
        <v>3.3660296812060599E-2</v>
      </c>
      <c r="AW6" s="6">
        <v>-4.6547237042009408E-2</v>
      </c>
      <c r="AX6" s="6">
        <v>2.7717503693946651E-2</v>
      </c>
      <c r="AY6" s="6">
        <v>-6.7047479171243513E-2</v>
      </c>
      <c r="AZ6" s="6">
        <v>-9.6344219247393434E-2</v>
      </c>
      <c r="BA6" s="6">
        <v>-0.10951462330282589</v>
      </c>
      <c r="BB6" s="6">
        <v>-8.3914618719999598E-2</v>
      </c>
      <c r="BC6" s="6">
        <v>3.5840648421065109E-2</v>
      </c>
      <c r="BD6" s="6">
        <v>1.292951753916214E-2</v>
      </c>
      <c r="BE6" s="6">
        <v>-8.1598455448750867E-3</v>
      </c>
      <c r="BF6" s="6">
        <v>-5.3942418456512327E-2</v>
      </c>
      <c r="BG6" s="6">
        <v>-0.142029930829629</v>
      </c>
      <c r="BH6" s="6">
        <v>-0.12265873908773781</v>
      </c>
      <c r="BI6" s="6">
        <v>9.7783866552408075E-2</v>
      </c>
      <c r="BJ6" s="6">
        <v>7.9711676960448688E-2</v>
      </c>
      <c r="BK6" s="6">
        <v>9.6077472775098587E-3</v>
      </c>
      <c r="BL6" s="6">
        <v>0.13649148238992709</v>
      </c>
      <c r="BM6" s="6">
        <v>-3.3079779994783898E-2</v>
      </c>
      <c r="BN6" s="6">
        <v>-1.6046123710351721E-2</v>
      </c>
      <c r="BO6" s="6">
        <v>-4.4690800341510989E-2</v>
      </c>
      <c r="BP6" s="6">
        <v>5.1825032965445668E-2</v>
      </c>
      <c r="BQ6" s="6">
        <v>-3.4349445221225398E-2</v>
      </c>
      <c r="BR6" s="6">
        <v>8.833981095138381E-2</v>
      </c>
      <c r="BS6" s="6">
        <v>2.841580491828196E-2</v>
      </c>
    </row>
    <row r="7" spans="1:71" x14ac:dyDescent="0.3">
      <c r="A7" s="1">
        <v>45748</v>
      </c>
      <c r="B7" s="6">
        <v>-1.890090189787073E-2</v>
      </c>
      <c r="C7" s="6">
        <v>-3.9427924113100303E-2</v>
      </c>
      <c r="D7" s="6">
        <v>-2.2620846692152649E-3</v>
      </c>
      <c r="E7" s="6">
        <v>4.0452778228612887E-2</v>
      </c>
      <c r="F7" s="6">
        <v>1.164210577151637E-2</v>
      </c>
      <c r="G7" s="6">
        <v>6.1962469131320731E-2</v>
      </c>
      <c r="H7" s="6">
        <v>2.9865896790355902E-2</v>
      </c>
      <c r="I7" s="6">
        <v>4.7506234275260427E-2</v>
      </c>
      <c r="J7" s="6">
        <v>-0.12912760741669899</v>
      </c>
      <c r="K7" s="6">
        <v>3.6974462069180133E-2</v>
      </c>
      <c r="L7" s="6">
        <v>5.3612867054636547E-2</v>
      </c>
      <c r="M7" s="6">
        <v>-0.1010150985943377</v>
      </c>
      <c r="N7" s="6">
        <v>-3.465965306486038E-2</v>
      </c>
      <c r="O7" s="6">
        <v>6.9783199693990536E-2</v>
      </c>
      <c r="P7" s="6">
        <v>3.8590012975161993E-2</v>
      </c>
      <c r="Q7" s="6">
        <v>0.12113161314419051</v>
      </c>
      <c r="R7" s="6">
        <v>-0.1585038666299361</v>
      </c>
      <c r="S7" s="6">
        <v>-6.0882230243028683E-2</v>
      </c>
      <c r="T7" s="6">
        <v>-3.1572742746873612E-2</v>
      </c>
      <c r="U7" s="6">
        <v>-0.1403035813595227</v>
      </c>
      <c r="V7" s="6">
        <v>0.12900721686871569</v>
      </c>
      <c r="W7" s="6">
        <v>0.19258280880584661</v>
      </c>
      <c r="X7" s="6">
        <v>0.168466096710404</v>
      </c>
      <c r="Y7" s="6">
        <v>5.4204660449920387E-2</v>
      </c>
      <c r="Z7" s="6">
        <v>3.4639325522388201E-2</v>
      </c>
      <c r="AA7" s="6">
        <v>4.9866616667391651E-2</v>
      </c>
      <c r="AB7" s="6">
        <v>7.2626479409181391E-2</v>
      </c>
      <c r="AC7" s="6">
        <v>-4.7058440403487086E-3</v>
      </c>
      <c r="AD7" s="6">
        <v>1.1267730392516899E-2</v>
      </c>
      <c r="AE7" s="6">
        <v>9.3750177306813814E-2</v>
      </c>
      <c r="AF7" s="6">
        <v>-7.1732432014103772E-2</v>
      </c>
      <c r="AG7" s="6">
        <v>3.3513401429345967E-2</v>
      </c>
      <c r="AH7" s="6">
        <v>-2.7949925356928682E-2</v>
      </c>
      <c r="AI7" s="6">
        <v>8.3795951760070667E-3</v>
      </c>
      <c r="AJ7" s="6">
        <v>-7.9653142714977657E-2</v>
      </c>
      <c r="AK7" s="6">
        <v>-5.0782642909776167E-2</v>
      </c>
      <c r="AL7" s="6">
        <v>0.12792439285510429</v>
      </c>
      <c r="AM7" s="6">
        <v>4.3633133877080912E-2</v>
      </c>
      <c r="AN7" s="6">
        <v>-4.8094309572528922E-2</v>
      </c>
      <c r="AO7" s="6">
        <v>1.9894887748768918E-2</v>
      </c>
      <c r="AP7" s="6">
        <v>8.5673819257530259E-2</v>
      </c>
      <c r="AQ7" s="6">
        <v>8.2035768131818315E-2</v>
      </c>
      <c r="AR7" s="6">
        <v>7.4615672691507623E-2</v>
      </c>
      <c r="AS7" s="6">
        <v>0.12521018242165211</v>
      </c>
      <c r="AT7" s="6">
        <v>-8.5310991221171903E-2</v>
      </c>
      <c r="AU7" s="6">
        <v>-4.7391822852264467E-2</v>
      </c>
      <c r="AV7" s="6">
        <v>-0.21436897780957559</v>
      </c>
      <c r="AW7" s="6">
        <v>0.1240564387704968</v>
      </c>
      <c r="AX7" s="6">
        <v>-3.1840570492239248E-2</v>
      </c>
      <c r="AY7" s="6">
        <v>-6.2769022720019088E-3</v>
      </c>
      <c r="AZ7" s="6">
        <v>2.769672877718991E-2</v>
      </c>
      <c r="BA7" s="6">
        <v>-3.1175773724155319E-2</v>
      </c>
      <c r="BB7" s="6">
        <v>-4.4320795547437772E-2</v>
      </c>
      <c r="BC7" s="6">
        <v>1.2572042214223651E-3</v>
      </c>
      <c r="BD7" s="6">
        <v>-5.9182226178087723E-2</v>
      </c>
      <c r="BE7" s="6">
        <v>7.4532298638133029E-2</v>
      </c>
      <c r="BF7" s="6">
        <v>5.1578286504924332E-2</v>
      </c>
      <c r="BG7" s="6">
        <v>5.0620461098014246E-3</v>
      </c>
      <c r="BH7" s="6">
        <v>8.5028653194190507E-2</v>
      </c>
      <c r="BI7" s="6">
        <v>-0.23708667829474839</v>
      </c>
      <c r="BJ7" s="6">
        <v>2.219351396528655E-2</v>
      </c>
      <c r="BK7" s="6">
        <v>0.1787541216700054</v>
      </c>
      <c r="BL7" s="6">
        <v>0.11086255574546749</v>
      </c>
      <c r="BM7" s="6">
        <v>0.1030432281356112</v>
      </c>
      <c r="BN7" s="6">
        <v>7.048657072375708E-2</v>
      </c>
      <c r="BO7" s="6">
        <v>-6.0195119797744903E-2</v>
      </c>
      <c r="BP7" s="6">
        <v>8.2278050058546812E-2</v>
      </c>
      <c r="BQ7" s="6">
        <v>4.6932128551129392E-3</v>
      </c>
      <c r="BR7" s="6">
        <v>0.1427480084565512</v>
      </c>
      <c r="BS7" s="6">
        <v>-0.14799681425288</v>
      </c>
    </row>
  </sheetData>
  <mergeCells count="7">
    <mergeCell ref="BJ2:BS2"/>
    <mergeCell ref="B2:K2"/>
    <mergeCell ref="L2:U2"/>
    <mergeCell ref="V2:AE2"/>
    <mergeCell ref="AF2:AO2"/>
    <mergeCell ref="AP2:AY2"/>
    <mergeCell ref="AZ2:B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B070-662F-4126-A522-C75E6FE1A009}">
  <dimension ref="A2:BT11"/>
  <sheetViews>
    <sheetView topLeftCell="BM1" workbookViewId="0">
      <selection activeCell="BT11" sqref="BT11"/>
    </sheetView>
  </sheetViews>
  <sheetFormatPr baseColWidth="10" defaultRowHeight="14.4" x14ac:dyDescent="0.3"/>
  <cols>
    <col min="1" max="1" width="13.88671875" bestFit="1" customWidth="1"/>
    <col min="2" max="2" width="12" bestFit="1" customWidth="1"/>
  </cols>
  <sheetData>
    <row r="2" spans="1:72" x14ac:dyDescent="0.3">
      <c r="A2" t="s">
        <v>87</v>
      </c>
    </row>
    <row r="3" spans="1:72" x14ac:dyDescent="0.3">
      <c r="A3" s="10"/>
      <c r="B3" s="10"/>
      <c r="C3" s="8" t="s">
        <v>13</v>
      </c>
      <c r="D3" s="8"/>
      <c r="E3" s="8"/>
      <c r="F3" s="8"/>
      <c r="G3" s="8"/>
      <c r="H3" s="8"/>
      <c r="I3" s="8"/>
      <c r="J3" s="8"/>
      <c r="K3" s="8"/>
      <c r="L3" s="8"/>
      <c r="M3" s="8" t="s">
        <v>24</v>
      </c>
      <c r="N3" s="8"/>
      <c r="O3" s="8"/>
      <c r="P3" s="8"/>
      <c r="Q3" s="8"/>
      <c r="R3" s="8"/>
      <c r="S3" s="8"/>
      <c r="T3" s="8"/>
      <c r="U3" s="8"/>
      <c r="V3" s="8"/>
      <c r="W3" s="8" t="s">
        <v>35</v>
      </c>
      <c r="X3" s="8"/>
      <c r="Y3" s="8"/>
      <c r="Z3" s="8"/>
      <c r="AA3" s="8"/>
      <c r="AB3" s="8"/>
      <c r="AC3" s="8"/>
      <c r="AD3" s="8"/>
      <c r="AE3" s="8"/>
      <c r="AF3" s="8"/>
      <c r="AG3" s="8" t="s">
        <v>46</v>
      </c>
      <c r="AH3" s="8"/>
      <c r="AI3" s="8"/>
      <c r="AJ3" s="8"/>
      <c r="AK3" s="8"/>
      <c r="AL3" s="8"/>
      <c r="AM3" s="8"/>
      <c r="AN3" s="8"/>
      <c r="AO3" s="8"/>
      <c r="AP3" s="8"/>
      <c r="AQ3" s="8" t="s">
        <v>57</v>
      </c>
      <c r="AR3" s="8"/>
      <c r="AS3" s="8"/>
      <c r="AT3" s="8"/>
      <c r="AU3" s="8"/>
      <c r="AV3" s="8"/>
      <c r="AW3" s="8"/>
      <c r="AX3" s="8"/>
      <c r="AY3" s="8"/>
      <c r="AZ3" s="8"/>
      <c r="BA3" s="8" t="s">
        <v>68</v>
      </c>
      <c r="BB3" s="8"/>
      <c r="BC3" s="8"/>
      <c r="BD3" s="8"/>
      <c r="BE3" s="8"/>
      <c r="BF3" s="8"/>
      <c r="BG3" s="8"/>
      <c r="BH3" s="8"/>
      <c r="BI3" s="8"/>
      <c r="BJ3" s="8"/>
      <c r="BK3" s="8" t="s">
        <v>79</v>
      </c>
      <c r="BL3" s="8"/>
      <c r="BM3" s="8"/>
      <c r="BN3" s="8"/>
      <c r="BO3" s="8"/>
      <c r="BP3" s="8"/>
      <c r="BQ3" s="8"/>
      <c r="BR3" s="8"/>
      <c r="BS3" s="8"/>
      <c r="BT3" s="8"/>
    </row>
    <row r="4" spans="1:72" x14ac:dyDescent="0.3">
      <c r="A4" s="10"/>
      <c r="B4" s="10"/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  <c r="K4" s="9" t="s">
        <v>11</v>
      </c>
      <c r="L4" s="9" t="s">
        <v>12</v>
      </c>
      <c r="M4" s="9" t="s">
        <v>14</v>
      </c>
      <c r="N4" s="9" t="s">
        <v>15</v>
      </c>
      <c r="O4" s="9" t="s">
        <v>16</v>
      </c>
      <c r="P4" s="9" t="s">
        <v>17</v>
      </c>
      <c r="Q4" s="9" t="s">
        <v>18</v>
      </c>
      <c r="R4" s="9" t="s">
        <v>19</v>
      </c>
      <c r="S4" s="9" t="s">
        <v>20</v>
      </c>
      <c r="T4" s="9" t="s">
        <v>21</v>
      </c>
      <c r="U4" s="9" t="s">
        <v>22</v>
      </c>
      <c r="V4" s="9" t="s">
        <v>23</v>
      </c>
      <c r="W4" s="9" t="s">
        <v>25</v>
      </c>
      <c r="X4" s="9" t="s">
        <v>26</v>
      </c>
      <c r="Y4" s="9" t="s">
        <v>27</v>
      </c>
      <c r="Z4" s="9" t="s">
        <v>28</v>
      </c>
      <c r="AA4" s="9" t="s">
        <v>29</v>
      </c>
      <c r="AB4" s="9" t="s">
        <v>30</v>
      </c>
      <c r="AC4" s="9" t="s">
        <v>31</v>
      </c>
      <c r="AD4" s="9" t="s">
        <v>32</v>
      </c>
      <c r="AE4" s="9" t="s">
        <v>33</v>
      </c>
      <c r="AF4" s="9" t="s">
        <v>34</v>
      </c>
      <c r="AG4" s="9" t="s">
        <v>36</v>
      </c>
      <c r="AH4" s="9" t="s">
        <v>37</v>
      </c>
      <c r="AI4" s="9" t="s">
        <v>38</v>
      </c>
      <c r="AJ4" s="9" t="s">
        <v>39</v>
      </c>
      <c r="AK4" s="9" t="s">
        <v>40</v>
      </c>
      <c r="AL4" s="9" t="s">
        <v>41</v>
      </c>
      <c r="AM4" s="9" t="s">
        <v>42</v>
      </c>
      <c r="AN4" s="9" t="s">
        <v>43</v>
      </c>
      <c r="AO4" s="9" t="s">
        <v>44</v>
      </c>
      <c r="AP4" s="9" t="s">
        <v>45</v>
      </c>
      <c r="AQ4" s="9" t="s">
        <v>47</v>
      </c>
      <c r="AR4" s="9" t="s">
        <v>48</v>
      </c>
      <c r="AS4" s="9" t="s">
        <v>49</v>
      </c>
      <c r="AT4" s="9" t="s">
        <v>50</v>
      </c>
      <c r="AU4" s="9" t="s">
        <v>51</v>
      </c>
      <c r="AV4" s="9" t="s">
        <v>52</v>
      </c>
      <c r="AW4" s="9" t="s">
        <v>53</v>
      </c>
      <c r="AX4" s="9" t="s">
        <v>54</v>
      </c>
      <c r="AY4" s="9" t="s">
        <v>55</v>
      </c>
      <c r="AZ4" s="9" t="s">
        <v>56</v>
      </c>
      <c r="BA4" s="9" t="s">
        <v>58</v>
      </c>
      <c r="BB4" s="9" t="s">
        <v>59</v>
      </c>
      <c r="BC4" s="9" t="s">
        <v>60</v>
      </c>
      <c r="BD4" s="9" t="s">
        <v>61</v>
      </c>
      <c r="BE4" s="9" t="s">
        <v>62</v>
      </c>
      <c r="BF4" s="9" t="s">
        <v>63</v>
      </c>
      <c r="BG4" s="9" t="s">
        <v>64</v>
      </c>
      <c r="BH4" s="9" t="s">
        <v>65</v>
      </c>
      <c r="BI4" s="9" t="s">
        <v>66</v>
      </c>
      <c r="BJ4" s="9" t="s">
        <v>67</v>
      </c>
      <c r="BK4" s="9" t="s">
        <v>69</v>
      </c>
      <c r="BL4" s="9" t="s">
        <v>70</v>
      </c>
      <c r="BM4" s="9" t="s">
        <v>71</v>
      </c>
      <c r="BN4" s="9" t="s">
        <v>72</v>
      </c>
      <c r="BO4" s="9" t="s">
        <v>73</v>
      </c>
      <c r="BP4" s="9" t="s">
        <v>74</v>
      </c>
      <c r="BQ4" s="9" t="s">
        <v>75</v>
      </c>
      <c r="BR4" s="9" t="s">
        <v>76</v>
      </c>
      <c r="BS4" s="9" t="s">
        <v>77</v>
      </c>
      <c r="BT4" s="9" t="s">
        <v>78</v>
      </c>
    </row>
    <row r="5" spans="1:72" x14ac:dyDescent="0.3">
      <c r="A5" s="7" t="s">
        <v>80</v>
      </c>
      <c r="B5" s="11" t="s">
        <v>81</v>
      </c>
      <c r="C5" s="13">
        <v>0.01</v>
      </c>
      <c r="D5" s="13">
        <v>0.01</v>
      </c>
      <c r="E5" s="13">
        <v>0.01</v>
      </c>
      <c r="F5" s="13">
        <v>0.01</v>
      </c>
      <c r="G5" s="13">
        <v>0.01</v>
      </c>
      <c r="H5" s="13">
        <v>2.0899999999999998E-2</v>
      </c>
      <c r="I5" s="13">
        <v>0.01</v>
      </c>
      <c r="J5" s="13">
        <v>0.01</v>
      </c>
      <c r="K5" s="13">
        <v>0.01</v>
      </c>
      <c r="L5" s="13">
        <v>0.01</v>
      </c>
      <c r="M5" s="13">
        <v>0.01</v>
      </c>
      <c r="N5" s="13">
        <v>0.01</v>
      </c>
      <c r="O5" s="13">
        <v>0.01</v>
      </c>
      <c r="P5" s="13">
        <v>2.2100000000000002E-2</v>
      </c>
      <c r="Q5" s="13">
        <v>0.01</v>
      </c>
      <c r="R5" s="13">
        <v>0.01</v>
      </c>
      <c r="S5" s="13">
        <v>0.01</v>
      </c>
      <c r="T5" s="13">
        <v>1.14E-2</v>
      </c>
      <c r="U5" s="13">
        <v>0.01</v>
      </c>
      <c r="V5" s="13">
        <v>0.01</v>
      </c>
      <c r="W5" s="13">
        <v>0.01</v>
      </c>
      <c r="X5" s="13">
        <v>0.01</v>
      </c>
      <c r="Y5" s="13">
        <v>0.01</v>
      </c>
      <c r="Z5" s="13">
        <v>0.01</v>
      </c>
      <c r="AA5" s="13">
        <v>0.01</v>
      </c>
      <c r="AB5" s="13">
        <v>0.01</v>
      </c>
      <c r="AC5" s="13">
        <v>4.8399999999999999E-2</v>
      </c>
      <c r="AD5" s="13">
        <v>0.01</v>
      </c>
      <c r="AE5" s="13">
        <v>0.01</v>
      </c>
      <c r="AF5" s="13">
        <v>8.0500000000000002E-2</v>
      </c>
      <c r="AG5" s="13">
        <v>0.01</v>
      </c>
      <c r="AH5" s="13">
        <v>0.01</v>
      </c>
      <c r="AI5" s="13">
        <v>0.01</v>
      </c>
      <c r="AJ5" s="13">
        <v>0.01</v>
      </c>
      <c r="AK5" s="13">
        <v>0.01</v>
      </c>
      <c r="AL5" s="13">
        <v>0.01</v>
      </c>
      <c r="AM5" s="13">
        <v>0.01</v>
      </c>
      <c r="AN5" s="13">
        <v>0.01</v>
      </c>
      <c r="AO5" s="13">
        <v>0.01</v>
      </c>
      <c r="AP5" s="13">
        <v>0.01</v>
      </c>
      <c r="AQ5" s="13">
        <v>0.01</v>
      </c>
      <c r="AR5" s="13">
        <v>0.01</v>
      </c>
      <c r="AS5" s="13">
        <v>0.01</v>
      </c>
      <c r="AT5" s="13">
        <v>0.01</v>
      </c>
      <c r="AU5" s="13">
        <v>0.01</v>
      </c>
      <c r="AV5" s="13">
        <v>0.01</v>
      </c>
      <c r="AW5" s="13">
        <v>0.01</v>
      </c>
      <c r="AX5" s="13">
        <v>0.01</v>
      </c>
      <c r="AY5" s="13">
        <v>0.01</v>
      </c>
      <c r="AZ5" s="13">
        <v>0.01</v>
      </c>
      <c r="BA5" s="13">
        <v>0.01</v>
      </c>
      <c r="BB5" s="13">
        <v>0.01</v>
      </c>
      <c r="BC5" s="13">
        <v>0.01</v>
      </c>
      <c r="BD5" s="13">
        <v>0.01</v>
      </c>
      <c r="BE5" s="13">
        <v>0.01</v>
      </c>
      <c r="BF5" s="13">
        <v>0.01</v>
      </c>
      <c r="BG5" s="13">
        <v>0.01</v>
      </c>
      <c r="BH5" s="13">
        <v>0.01</v>
      </c>
      <c r="BI5" s="13">
        <v>0.01</v>
      </c>
      <c r="BJ5" s="13">
        <v>8.6800000000000002E-2</v>
      </c>
      <c r="BK5" s="13">
        <v>0.01</v>
      </c>
      <c r="BL5" s="13">
        <v>0.1</v>
      </c>
      <c r="BM5" s="13">
        <v>0.01</v>
      </c>
      <c r="BN5" s="13">
        <v>0.01</v>
      </c>
      <c r="BO5" s="13">
        <v>0.01</v>
      </c>
      <c r="BP5" s="13">
        <v>0.01</v>
      </c>
      <c r="BQ5" s="13">
        <v>0.01</v>
      </c>
      <c r="BR5" s="13">
        <v>0.01</v>
      </c>
      <c r="BS5" s="13">
        <v>0.01</v>
      </c>
      <c r="BT5" s="13">
        <v>0.01</v>
      </c>
    </row>
    <row r="6" spans="1:72" x14ac:dyDescent="0.3">
      <c r="A6" s="7"/>
      <c r="B6" s="11" t="s">
        <v>82</v>
      </c>
      <c r="C6" s="13">
        <v>0.01</v>
      </c>
      <c r="D6" s="13">
        <v>0.01</v>
      </c>
      <c r="E6" s="13">
        <v>0.01</v>
      </c>
      <c r="F6" s="13">
        <v>0.01</v>
      </c>
      <c r="G6" s="13">
        <v>0.01</v>
      </c>
      <c r="H6" s="13">
        <v>0.01</v>
      </c>
      <c r="I6" s="13">
        <v>0.01</v>
      </c>
      <c r="J6" s="13">
        <v>0.01</v>
      </c>
      <c r="K6" s="13">
        <v>0.01</v>
      </c>
      <c r="L6" s="13">
        <v>0.01</v>
      </c>
      <c r="M6" s="13">
        <v>0.01</v>
      </c>
      <c r="N6" s="13">
        <v>0.01</v>
      </c>
      <c r="O6" s="13">
        <v>0.01</v>
      </c>
      <c r="P6" s="13">
        <v>0.01</v>
      </c>
      <c r="Q6" s="13">
        <v>0.01</v>
      </c>
      <c r="R6" s="13">
        <v>0.01</v>
      </c>
      <c r="S6" s="13">
        <v>0.01</v>
      </c>
      <c r="T6" s="13">
        <v>0.01</v>
      </c>
      <c r="U6" s="13">
        <v>0.01</v>
      </c>
      <c r="V6" s="13">
        <v>0.01</v>
      </c>
      <c r="W6" s="13">
        <v>0.01</v>
      </c>
      <c r="X6" s="13">
        <v>0.01</v>
      </c>
      <c r="Y6" s="13">
        <v>0.01</v>
      </c>
      <c r="Z6" s="13">
        <v>0.01</v>
      </c>
      <c r="AA6" s="13">
        <v>0.01</v>
      </c>
      <c r="AB6" s="13">
        <v>0.01</v>
      </c>
      <c r="AC6" s="13">
        <v>0.01</v>
      </c>
      <c r="AD6" s="13">
        <v>0.01</v>
      </c>
      <c r="AE6" s="13">
        <v>0.01</v>
      </c>
      <c r="AF6" s="13">
        <v>0.01</v>
      </c>
      <c r="AG6" s="13">
        <v>0.01</v>
      </c>
      <c r="AH6" s="13">
        <v>0.01</v>
      </c>
      <c r="AI6" s="13">
        <v>0.01</v>
      </c>
      <c r="AJ6" s="13">
        <v>0.01</v>
      </c>
      <c r="AK6" s="13">
        <v>0.01</v>
      </c>
      <c r="AL6" s="13">
        <v>0.01</v>
      </c>
      <c r="AM6" s="13">
        <v>7.3599999999999999E-2</v>
      </c>
      <c r="AN6" s="13">
        <v>0.01</v>
      </c>
      <c r="AO6" s="13">
        <v>0.01</v>
      </c>
      <c r="AP6" s="13">
        <v>0.01</v>
      </c>
      <c r="AQ6" s="13">
        <v>0.01</v>
      </c>
      <c r="AR6" s="13">
        <v>0.01</v>
      </c>
      <c r="AS6" s="13">
        <v>0.01</v>
      </c>
      <c r="AT6" s="13">
        <v>0.01</v>
      </c>
      <c r="AU6" s="13">
        <v>0.01</v>
      </c>
      <c r="AV6" s="13">
        <v>0.01</v>
      </c>
      <c r="AW6" s="13">
        <v>0.01</v>
      </c>
      <c r="AX6" s="13">
        <v>0.01</v>
      </c>
      <c r="AY6" s="13">
        <v>0.01</v>
      </c>
      <c r="AZ6" s="13">
        <v>0.1</v>
      </c>
      <c r="BA6" s="13">
        <v>0.01</v>
      </c>
      <c r="BB6" s="13">
        <v>0.01</v>
      </c>
      <c r="BC6" s="13">
        <v>0.01</v>
      </c>
      <c r="BD6" s="13">
        <v>0.01</v>
      </c>
      <c r="BE6" s="13">
        <v>0.01</v>
      </c>
      <c r="BF6" s="13">
        <v>0.01</v>
      </c>
      <c r="BG6" s="13">
        <v>4.6300000000000001E-2</v>
      </c>
      <c r="BH6" s="13">
        <v>0.1</v>
      </c>
      <c r="BI6" s="13">
        <v>3.0099999999999998E-2</v>
      </c>
      <c r="BJ6" s="13">
        <v>0.01</v>
      </c>
      <c r="BK6" s="13">
        <v>0.01</v>
      </c>
      <c r="BL6" s="13">
        <v>0.01</v>
      </c>
      <c r="BM6" s="13">
        <v>0.01</v>
      </c>
      <c r="BN6" s="13">
        <v>0.01</v>
      </c>
      <c r="BO6" s="13">
        <v>0.01</v>
      </c>
      <c r="BP6" s="13">
        <v>0.01</v>
      </c>
      <c r="BQ6" s="13">
        <v>0.01</v>
      </c>
      <c r="BR6" s="13">
        <v>0.01</v>
      </c>
      <c r="BS6" s="13">
        <v>0.01</v>
      </c>
      <c r="BT6" s="13">
        <v>0.01</v>
      </c>
    </row>
    <row r="7" spans="1:72" x14ac:dyDescent="0.3">
      <c r="A7" s="7" t="s">
        <v>84</v>
      </c>
      <c r="B7" s="11" t="s">
        <v>81</v>
      </c>
      <c r="C7" s="12">
        <v>0.01</v>
      </c>
      <c r="D7" s="13">
        <v>0</v>
      </c>
      <c r="E7" s="13">
        <v>0</v>
      </c>
      <c r="F7" s="13">
        <v>0.01</v>
      </c>
      <c r="G7" s="13">
        <v>0</v>
      </c>
      <c r="H7" s="13">
        <v>9.1399999999999995E-2</v>
      </c>
      <c r="I7" s="13">
        <v>0.01</v>
      </c>
      <c r="J7" s="13">
        <v>0</v>
      </c>
      <c r="K7" s="13">
        <v>0</v>
      </c>
      <c r="L7" s="13">
        <v>0.01</v>
      </c>
      <c r="M7" s="13">
        <v>0.01</v>
      </c>
      <c r="N7" s="13">
        <v>0</v>
      </c>
      <c r="O7" s="13">
        <v>0</v>
      </c>
      <c r="P7" s="13">
        <v>5.8500000000000003E-2</v>
      </c>
      <c r="Q7" s="13">
        <v>0.01</v>
      </c>
      <c r="R7" s="13">
        <v>0.01</v>
      </c>
      <c r="S7" s="13">
        <v>0.01</v>
      </c>
      <c r="T7" s="13">
        <v>2.9399999999999999E-2</v>
      </c>
      <c r="U7" s="13">
        <v>0.01</v>
      </c>
      <c r="V7" s="13">
        <v>0.01</v>
      </c>
      <c r="W7" s="13">
        <v>0</v>
      </c>
      <c r="X7" s="13">
        <v>0.01</v>
      </c>
      <c r="Y7" s="13">
        <v>0</v>
      </c>
      <c r="Z7" s="13">
        <v>0</v>
      </c>
      <c r="AA7" s="13">
        <v>0.01</v>
      </c>
      <c r="AB7" s="13">
        <v>0</v>
      </c>
      <c r="AC7" s="13">
        <v>8.1100000000000005E-2</v>
      </c>
      <c r="AD7" s="13">
        <v>0</v>
      </c>
      <c r="AE7" s="13">
        <v>0</v>
      </c>
      <c r="AF7" s="13">
        <v>0.1</v>
      </c>
      <c r="AG7" s="13">
        <v>0.01</v>
      </c>
      <c r="AH7" s="13">
        <v>0.01</v>
      </c>
      <c r="AI7" s="13">
        <v>0.01</v>
      </c>
      <c r="AJ7" s="13">
        <v>0.01</v>
      </c>
      <c r="AK7" s="13">
        <v>3.7699999999999997E-2</v>
      </c>
      <c r="AL7" s="16">
        <v>0</v>
      </c>
      <c r="AM7" s="15">
        <v>0</v>
      </c>
      <c r="AN7" s="15">
        <v>0.01</v>
      </c>
      <c r="AO7" s="15">
        <v>0.01</v>
      </c>
      <c r="AP7" s="15">
        <v>0</v>
      </c>
      <c r="AQ7" s="15">
        <v>0.01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5.6399999999999999E-2</v>
      </c>
      <c r="BB7" s="15">
        <v>0</v>
      </c>
      <c r="BC7" s="15">
        <v>0.01</v>
      </c>
      <c r="BD7" s="15">
        <v>0.01</v>
      </c>
      <c r="BE7" s="15">
        <v>7.0300000000000001E-2</v>
      </c>
      <c r="BF7" s="15">
        <v>0.01</v>
      </c>
      <c r="BG7" s="15">
        <v>1.4500000000000001E-2</v>
      </c>
      <c r="BH7" s="15">
        <v>0</v>
      </c>
      <c r="BI7" s="15">
        <v>0</v>
      </c>
      <c r="BJ7" s="15">
        <v>0.1</v>
      </c>
      <c r="BK7" s="15">
        <v>0.01</v>
      </c>
      <c r="BL7" s="15">
        <v>0.1</v>
      </c>
      <c r="BM7" s="15">
        <v>0</v>
      </c>
      <c r="BN7" s="15">
        <v>0</v>
      </c>
      <c r="BO7" s="15">
        <v>3.0700000000000002E-2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</row>
    <row r="8" spans="1:72" x14ac:dyDescent="0.3">
      <c r="A8" s="7"/>
      <c r="B8" s="11" t="s">
        <v>82</v>
      </c>
      <c r="C8" s="13">
        <v>0.01</v>
      </c>
      <c r="D8" s="13">
        <f t="shared" ref="D8:BO8" si="0">+IF(D7=0,0,"")</f>
        <v>0</v>
      </c>
      <c r="E8" s="13">
        <f t="shared" si="0"/>
        <v>0</v>
      </c>
      <c r="F8" s="13">
        <v>0.01</v>
      </c>
      <c r="G8" s="13">
        <f t="shared" si="0"/>
        <v>0</v>
      </c>
      <c r="H8" s="13">
        <v>0.1</v>
      </c>
      <c r="I8" s="13">
        <v>0.01</v>
      </c>
      <c r="J8" s="13">
        <f t="shared" si="0"/>
        <v>0</v>
      </c>
      <c r="K8" s="13">
        <f t="shared" si="0"/>
        <v>0</v>
      </c>
      <c r="L8" s="13">
        <v>0.01</v>
      </c>
      <c r="M8" s="13">
        <v>0.01</v>
      </c>
      <c r="N8" s="13">
        <f t="shared" si="0"/>
        <v>0</v>
      </c>
      <c r="O8" s="13">
        <f t="shared" si="0"/>
        <v>0</v>
      </c>
      <c r="P8" s="13">
        <v>0.01</v>
      </c>
      <c r="Q8" s="13">
        <v>0.01</v>
      </c>
      <c r="R8" s="13">
        <v>0.01</v>
      </c>
      <c r="S8" s="13">
        <v>0.03</v>
      </c>
      <c r="T8" s="13">
        <v>0.01</v>
      </c>
      <c r="U8" s="13">
        <v>0.1</v>
      </c>
      <c r="V8" s="13">
        <v>0.01</v>
      </c>
      <c r="W8" s="13">
        <f t="shared" si="0"/>
        <v>0</v>
      </c>
      <c r="X8" s="13">
        <v>0.01</v>
      </c>
      <c r="Y8" s="13">
        <f t="shared" si="0"/>
        <v>0</v>
      </c>
      <c r="Z8" s="13">
        <f t="shared" si="0"/>
        <v>0</v>
      </c>
      <c r="AA8" s="13">
        <v>0.01</v>
      </c>
      <c r="AB8" s="13">
        <f t="shared" si="0"/>
        <v>0</v>
      </c>
      <c r="AC8" s="13">
        <v>0.01</v>
      </c>
      <c r="AD8" s="13">
        <f t="shared" si="0"/>
        <v>0</v>
      </c>
      <c r="AE8" s="13">
        <f t="shared" si="0"/>
        <v>0</v>
      </c>
      <c r="AF8" s="13">
        <v>0.01</v>
      </c>
      <c r="AG8" s="13">
        <v>0.01</v>
      </c>
      <c r="AH8" s="13">
        <v>0.01</v>
      </c>
      <c r="AI8" s="13">
        <v>0.01</v>
      </c>
      <c r="AJ8" s="13">
        <v>0.01</v>
      </c>
      <c r="AK8" s="13">
        <v>0.01</v>
      </c>
      <c r="AL8" s="13">
        <f t="shared" si="0"/>
        <v>0</v>
      </c>
      <c r="AM8" s="13">
        <f t="shared" si="0"/>
        <v>0</v>
      </c>
      <c r="AN8" s="13">
        <v>0.01</v>
      </c>
      <c r="AO8" s="13">
        <v>0.01</v>
      </c>
      <c r="AP8" s="13">
        <f t="shared" si="0"/>
        <v>0</v>
      </c>
      <c r="AQ8" s="13">
        <v>0.01</v>
      </c>
      <c r="AR8" s="13">
        <f t="shared" si="0"/>
        <v>0</v>
      </c>
      <c r="AS8" s="13">
        <f t="shared" si="0"/>
        <v>0</v>
      </c>
      <c r="AT8" s="13">
        <f t="shared" si="0"/>
        <v>0</v>
      </c>
      <c r="AU8" s="13">
        <f t="shared" si="0"/>
        <v>0</v>
      </c>
      <c r="AV8" s="13">
        <f t="shared" si="0"/>
        <v>0</v>
      </c>
      <c r="AW8" s="13">
        <f t="shared" si="0"/>
        <v>0</v>
      </c>
      <c r="AX8" s="13">
        <f t="shared" si="0"/>
        <v>0</v>
      </c>
      <c r="AY8" s="13">
        <f t="shared" si="0"/>
        <v>0</v>
      </c>
      <c r="AZ8" s="13">
        <f t="shared" si="0"/>
        <v>0</v>
      </c>
      <c r="BA8" s="13">
        <v>0.1</v>
      </c>
      <c r="BB8" s="13">
        <f t="shared" si="0"/>
        <v>0</v>
      </c>
      <c r="BC8" s="13">
        <v>0.1</v>
      </c>
      <c r="BD8" s="13">
        <v>0.01</v>
      </c>
      <c r="BE8" s="13">
        <v>0.01</v>
      </c>
      <c r="BF8" s="13">
        <v>0.01</v>
      </c>
      <c r="BG8" s="13">
        <v>0.1</v>
      </c>
      <c r="BH8" s="13">
        <f t="shared" si="0"/>
        <v>0</v>
      </c>
      <c r="BI8" s="13">
        <f t="shared" si="0"/>
        <v>0</v>
      </c>
      <c r="BJ8" s="13">
        <v>0.1</v>
      </c>
      <c r="BK8" s="13">
        <v>0.01</v>
      </c>
      <c r="BL8" s="13">
        <v>0.1</v>
      </c>
      <c r="BM8" s="13">
        <f t="shared" si="0"/>
        <v>0</v>
      </c>
      <c r="BN8" s="13">
        <f t="shared" si="0"/>
        <v>0</v>
      </c>
      <c r="BO8" s="13">
        <v>0.01</v>
      </c>
      <c r="BP8" s="13">
        <f t="shared" ref="BP8:BT8" si="1">+IF(BP7=0,0,"")</f>
        <v>0</v>
      </c>
      <c r="BQ8" s="13">
        <f t="shared" si="1"/>
        <v>0</v>
      </c>
      <c r="BR8" s="13">
        <f t="shared" si="1"/>
        <v>0</v>
      </c>
      <c r="BS8" s="13">
        <f t="shared" si="1"/>
        <v>0</v>
      </c>
      <c r="BT8" s="13">
        <f t="shared" si="1"/>
        <v>0</v>
      </c>
    </row>
    <row r="9" spans="1:72" x14ac:dyDescent="0.3">
      <c r="A9" s="7" t="s">
        <v>89</v>
      </c>
      <c r="B9" s="11" t="s">
        <v>81</v>
      </c>
      <c r="C9" s="15">
        <f>+IF(C7&gt;0,0,"")</f>
        <v>0</v>
      </c>
      <c r="D9" s="15">
        <v>0.01</v>
      </c>
      <c r="E9" s="15">
        <v>0.01</v>
      </c>
      <c r="F9" s="15">
        <f t="shared" ref="D9:BO9" si="2">+IF(F7&gt;0,0,"")</f>
        <v>0</v>
      </c>
      <c r="G9" s="15">
        <v>0.1</v>
      </c>
      <c r="H9" s="15">
        <f t="shared" si="2"/>
        <v>0</v>
      </c>
      <c r="I9" s="15">
        <f t="shared" si="2"/>
        <v>0</v>
      </c>
      <c r="J9" s="15">
        <v>8.5400000000000004E-2</v>
      </c>
      <c r="K9" s="15">
        <v>9.9699999999999997E-2</v>
      </c>
      <c r="L9" s="15">
        <f t="shared" si="2"/>
        <v>0</v>
      </c>
      <c r="M9" s="15">
        <f t="shared" si="2"/>
        <v>0</v>
      </c>
      <c r="N9" s="15">
        <v>0.01</v>
      </c>
      <c r="O9" s="15">
        <v>0.01</v>
      </c>
      <c r="P9" s="15">
        <f t="shared" si="2"/>
        <v>0</v>
      </c>
      <c r="Q9" s="15">
        <f t="shared" si="2"/>
        <v>0</v>
      </c>
      <c r="R9" s="15">
        <f t="shared" si="2"/>
        <v>0</v>
      </c>
      <c r="S9" s="15">
        <f t="shared" si="2"/>
        <v>0</v>
      </c>
      <c r="T9" s="15">
        <f t="shared" si="2"/>
        <v>0</v>
      </c>
      <c r="U9" s="15">
        <f t="shared" si="2"/>
        <v>0</v>
      </c>
      <c r="V9" s="15">
        <f t="shared" si="2"/>
        <v>0</v>
      </c>
      <c r="W9" s="15">
        <v>0.01</v>
      </c>
      <c r="X9" s="15">
        <f t="shared" si="2"/>
        <v>0</v>
      </c>
      <c r="Y9" s="15">
        <v>0.01</v>
      </c>
      <c r="Z9" s="15">
        <v>0.01</v>
      </c>
      <c r="AA9" s="15">
        <f t="shared" si="2"/>
        <v>0</v>
      </c>
      <c r="AB9" s="15">
        <v>0.01</v>
      </c>
      <c r="AC9" s="15">
        <f t="shared" si="2"/>
        <v>0</v>
      </c>
      <c r="AD9" s="15">
        <v>0.01</v>
      </c>
      <c r="AE9" s="15">
        <v>0.01</v>
      </c>
      <c r="AF9" s="15">
        <f t="shared" si="2"/>
        <v>0</v>
      </c>
      <c r="AG9" s="15">
        <f t="shared" si="2"/>
        <v>0</v>
      </c>
      <c r="AH9" s="15">
        <f t="shared" si="2"/>
        <v>0</v>
      </c>
      <c r="AI9" s="15">
        <f t="shared" si="2"/>
        <v>0</v>
      </c>
      <c r="AJ9" s="15">
        <f t="shared" si="2"/>
        <v>0</v>
      </c>
      <c r="AK9" s="15">
        <f t="shared" si="2"/>
        <v>0</v>
      </c>
      <c r="AL9" s="15">
        <v>0.01</v>
      </c>
      <c r="AM9" s="15">
        <v>2.81E-2</v>
      </c>
      <c r="AN9" s="15">
        <f t="shared" si="2"/>
        <v>0</v>
      </c>
      <c r="AO9" s="15">
        <f t="shared" si="2"/>
        <v>0</v>
      </c>
      <c r="AP9" s="15">
        <v>0.01</v>
      </c>
      <c r="AQ9" s="15">
        <f t="shared" si="2"/>
        <v>0</v>
      </c>
      <c r="AR9" s="15">
        <v>0.01</v>
      </c>
      <c r="AS9" s="15">
        <v>2.9499999999999998E-2</v>
      </c>
      <c r="AT9" s="15">
        <v>0.01</v>
      </c>
      <c r="AU9" s="15">
        <v>0.01</v>
      </c>
      <c r="AV9" s="15">
        <v>0.01</v>
      </c>
      <c r="AW9" s="15">
        <v>0.01</v>
      </c>
      <c r="AX9" s="15">
        <v>0.01</v>
      </c>
      <c r="AY9" s="15">
        <v>0.1</v>
      </c>
      <c r="AZ9" s="15">
        <v>0.1</v>
      </c>
      <c r="BA9" s="15">
        <f t="shared" si="2"/>
        <v>0</v>
      </c>
      <c r="BB9" s="15">
        <v>0.1</v>
      </c>
      <c r="BC9" s="15">
        <f t="shared" si="2"/>
        <v>0</v>
      </c>
      <c r="BD9" s="15">
        <f t="shared" si="2"/>
        <v>0</v>
      </c>
      <c r="BE9" s="15">
        <f t="shared" si="2"/>
        <v>0</v>
      </c>
      <c r="BF9" s="15">
        <f t="shared" si="2"/>
        <v>0</v>
      </c>
      <c r="BG9" s="15">
        <f t="shared" si="2"/>
        <v>0</v>
      </c>
      <c r="BH9" s="15">
        <v>0.01</v>
      </c>
      <c r="BI9" s="15">
        <v>0.01</v>
      </c>
      <c r="BJ9" s="15">
        <f t="shared" si="2"/>
        <v>0</v>
      </c>
      <c r="BK9" s="15">
        <f t="shared" si="2"/>
        <v>0</v>
      </c>
      <c r="BL9" s="15">
        <f t="shared" si="2"/>
        <v>0</v>
      </c>
      <c r="BM9" s="15">
        <v>1.5599999999999999E-2</v>
      </c>
      <c r="BN9" s="15">
        <v>3.2000000000000001E-2</v>
      </c>
      <c r="BO9" s="15">
        <f t="shared" si="2"/>
        <v>0</v>
      </c>
      <c r="BP9" s="15">
        <v>6.9800000000000001E-2</v>
      </c>
      <c r="BQ9" s="15">
        <v>0.01</v>
      </c>
      <c r="BR9" s="15">
        <v>0.01</v>
      </c>
      <c r="BS9" s="15">
        <v>0.01</v>
      </c>
      <c r="BT9" s="15">
        <v>0.01</v>
      </c>
    </row>
    <row r="10" spans="1:72" x14ac:dyDescent="0.3">
      <c r="A10" s="7"/>
      <c r="B10" s="11" t="s">
        <v>82</v>
      </c>
      <c r="C10" s="15">
        <f>+IF(C9=0,0,"")</f>
        <v>0</v>
      </c>
      <c r="D10" s="15">
        <v>0.01</v>
      </c>
      <c r="E10" s="15">
        <v>0.01</v>
      </c>
      <c r="F10" s="15">
        <f t="shared" ref="D10:BO10" si="3">+IF(F9=0,0,"")</f>
        <v>0</v>
      </c>
      <c r="G10" s="15">
        <v>0.01</v>
      </c>
      <c r="H10" s="15">
        <f t="shared" si="3"/>
        <v>0</v>
      </c>
      <c r="I10" s="15">
        <f t="shared" si="3"/>
        <v>0</v>
      </c>
      <c r="J10" s="15">
        <v>0.01</v>
      </c>
      <c r="K10" s="15">
        <v>0.01</v>
      </c>
      <c r="L10" s="15">
        <f t="shared" si="3"/>
        <v>0</v>
      </c>
      <c r="M10" s="15">
        <f t="shared" si="3"/>
        <v>0</v>
      </c>
      <c r="N10" s="15">
        <v>0.01</v>
      </c>
      <c r="O10" s="15">
        <v>0.01</v>
      </c>
      <c r="P10" s="15">
        <f t="shared" si="3"/>
        <v>0</v>
      </c>
      <c r="Q10" s="15">
        <f t="shared" si="3"/>
        <v>0</v>
      </c>
      <c r="R10" s="15">
        <f t="shared" si="3"/>
        <v>0</v>
      </c>
      <c r="S10" s="15">
        <f t="shared" si="3"/>
        <v>0</v>
      </c>
      <c r="T10" s="15">
        <f t="shared" si="3"/>
        <v>0</v>
      </c>
      <c r="U10" s="15">
        <f t="shared" si="3"/>
        <v>0</v>
      </c>
      <c r="V10" s="15">
        <f t="shared" si="3"/>
        <v>0</v>
      </c>
      <c r="W10" s="15">
        <v>0.01</v>
      </c>
      <c r="X10" s="15">
        <f t="shared" si="3"/>
        <v>0</v>
      </c>
      <c r="Y10" s="15">
        <v>0.01</v>
      </c>
      <c r="Z10" s="15">
        <v>0.01</v>
      </c>
      <c r="AA10" s="15">
        <f t="shared" si="3"/>
        <v>0</v>
      </c>
      <c r="AB10" s="15">
        <v>0.03</v>
      </c>
      <c r="AC10" s="15">
        <f t="shared" si="3"/>
        <v>0</v>
      </c>
      <c r="AD10" s="15">
        <v>0.01</v>
      </c>
      <c r="AE10" s="15">
        <v>0.01</v>
      </c>
      <c r="AF10" s="15">
        <f t="shared" si="3"/>
        <v>0</v>
      </c>
      <c r="AG10" s="15">
        <f t="shared" si="3"/>
        <v>0</v>
      </c>
      <c r="AH10" s="15">
        <f t="shared" si="3"/>
        <v>0</v>
      </c>
      <c r="AI10" s="15">
        <f t="shared" si="3"/>
        <v>0</v>
      </c>
      <c r="AJ10" s="15">
        <f t="shared" si="3"/>
        <v>0</v>
      </c>
      <c r="AK10" s="15">
        <f t="shared" si="3"/>
        <v>0</v>
      </c>
      <c r="AL10" s="15">
        <v>0.01</v>
      </c>
      <c r="AM10" s="15">
        <v>0.1</v>
      </c>
      <c r="AN10" s="15">
        <f t="shared" si="3"/>
        <v>0</v>
      </c>
      <c r="AO10" s="15">
        <f t="shared" si="3"/>
        <v>0</v>
      </c>
      <c r="AP10" s="15">
        <v>0.01</v>
      </c>
      <c r="AQ10" s="15">
        <f t="shared" si="3"/>
        <v>0</v>
      </c>
      <c r="AR10" s="15">
        <v>0.01</v>
      </c>
      <c r="AS10" s="15">
        <v>0.01</v>
      </c>
      <c r="AT10" s="15">
        <v>0.01</v>
      </c>
      <c r="AU10" s="15">
        <v>0.01</v>
      </c>
      <c r="AV10" s="15">
        <v>0.01</v>
      </c>
      <c r="AW10" s="15">
        <v>0.1</v>
      </c>
      <c r="AX10" s="15">
        <v>0.01</v>
      </c>
      <c r="AY10" s="15">
        <v>0.1</v>
      </c>
      <c r="AZ10" s="15">
        <v>0.1</v>
      </c>
      <c r="BA10" s="15">
        <f t="shared" si="3"/>
        <v>0</v>
      </c>
      <c r="BB10" s="15">
        <v>0.1</v>
      </c>
      <c r="BC10" s="15">
        <f t="shared" si="3"/>
        <v>0</v>
      </c>
      <c r="BD10" s="15">
        <f t="shared" si="3"/>
        <v>0</v>
      </c>
      <c r="BE10" s="15">
        <f t="shared" si="3"/>
        <v>0</v>
      </c>
      <c r="BF10" s="15">
        <f t="shared" si="3"/>
        <v>0</v>
      </c>
      <c r="BG10" s="15">
        <f t="shared" si="3"/>
        <v>0</v>
      </c>
      <c r="BH10" s="15">
        <v>0.1</v>
      </c>
      <c r="BI10" s="15">
        <v>0.1</v>
      </c>
      <c r="BJ10" s="15">
        <f t="shared" si="3"/>
        <v>0</v>
      </c>
      <c r="BK10" s="15">
        <f t="shared" si="3"/>
        <v>0</v>
      </c>
      <c r="BL10" s="15">
        <f t="shared" si="3"/>
        <v>0</v>
      </c>
      <c r="BM10" s="15">
        <v>0.01</v>
      </c>
      <c r="BN10" s="15">
        <v>0.01</v>
      </c>
      <c r="BO10" s="15">
        <f t="shared" si="3"/>
        <v>0</v>
      </c>
      <c r="BP10" s="15">
        <v>0.01</v>
      </c>
      <c r="BQ10" s="15">
        <v>0.01</v>
      </c>
      <c r="BR10" s="15">
        <v>0.01</v>
      </c>
      <c r="BS10" s="15">
        <v>0.01</v>
      </c>
      <c r="BT10" s="15">
        <v>0.01</v>
      </c>
    </row>
    <row r="11" spans="1:72" x14ac:dyDescent="0.3">
      <c r="A11" s="11" t="s">
        <v>83</v>
      </c>
      <c r="B11" s="11" t="s">
        <v>85</v>
      </c>
      <c r="C11" s="13">
        <v>0.01</v>
      </c>
      <c r="D11" s="13">
        <v>0.01</v>
      </c>
      <c r="E11" s="13">
        <v>1.0000000000000011E-2</v>
      </c>
      <c r="F11" s="13">
        <v>1.0000000000000011E-2</v>
      </c>
      <c r="G11" s="13">
        <v>1.0000000000000019E-2</v>
      </c>
      <c r="H11" s="13">
        <v>1.0000000000000011E-2</v>
      </c>
      <c r="I11" s="13">
        <v>1.0000000000000011E-2</v>
      </c>
      <c r="J11" s="13">
        <v>1.000000000000003E-2</v>
      </c>
      <c r="K11" s="13">
        <v>0.01</v>
      </c>
      <c r="L11" s="13">
        <v>0.01</v>
      </c>
      <c r="M11" s="13">
        <v>0.01</v>
      </c>
      <c r="N11" s="13">
        <v>0.1</v>
      </c>
      <c r="O11" s="13">
        <v>9.9999999999999992E-2</v>
      </c>
      <c r="P11" s="13">
        <v>0.01</v>
      </c>
      <c r="Q11" s="13">
        <v>0.01</v>
      </c>
      <c r="R11" s="13">
        <v>1.0000000000000019E-2</v>
      </c>
      <c r="S11" s="13">
        <v>1.0000000000000019E-2</v>
      </c>
      <c r="T11" s="13">
        <v>0.01</v>
      </c>
      <c r="U11" s="13">
        <v>0.01</v>
      </c>
      <c r="V11" s="13">
        <v>1.0000000000000011E-2</v>
      </c>
      <c r="W11" s="13">
        <v>1.0000000000000011E-2</v>
      </c>
      <c r="X11" s="13">
        <v>0.01</v>
      </c>
      <c r="Y11" s="13">
        <v>0.01</v>
      </c>
      <c r="Z11" s="13">
        <v>1.0000000000000011E-2</v>
      </c>
      <c r="AA11" s="13">
        <v>0.01</v>
      </c>
      <c r="AB11" s="13">
        <v>0.01</v>
      </c>
      <c r="AC11" s="13">
        <v>0.01</v>
      </c>
      <c r="AD11" s="13">
        <v>0.01</v>
      </c>
      <c r="AE11" s="13">
        <v>4.3217466919176641E-2</v>
      </c>
      <c r="AF11" s="13">
        <v>0.01</v>
      </c>
      <c r="AG11" s="13">
        <v>0.01</v>
      </c>
      <c r="AH11" s="13">
        <v>0.01</v>
      </c>
      <c r="AI11" s="13">
        <v>0.01</v>
      </c>
      <c r="AJ11" s="13">
        <v>1.0000000000000019E-2</v>
      </c>
      <c r="AK11" s="13">
        <v>1.0000000000000011E-2</v>
      </c>
      <c r="AL11" s="13">
        <v>5.4405031593244078E-2</v>
      </c>
      <c r="AM11" s="13">
        <v>0.01</v>
      </c>
      <c r="AN11" s="13">
        <v>0.01</v>
      </c>
      <c r="AO11" s="13">
        <v>0.01</v>
      </c>
      <c r="AP11" s="13">
        <v>1.0000000000000011E-2</v>
      </c>
      <c r="AQ11" s="13">
        <v>0.01</v>
      </c>
      <c r="AR11" s="13">
        <v>0.01</v>
      </c>
      <c r="AS11" s="13">
        <v>1.0000000000000011E-2</v>
      </c>
      <c r="AT11" s="13">
        <v>0.01</v>
      </c>
      <c r="AU11" s="13">
        <v>2.1862130728898279E-2</v>
      </c>
      <c r="AV11" s="13">
        <v>0.01</v>
      </c>
      <c r="AW11" s="13">
        <v>0.01</v>
      </c>
      <c r="AX11" s="13">
        <v>0.01</v>
      </c>
      <c r="AY11" s="13">
        <v>0.01</v>
      </c>
      <c r="AZ11" s="13">
        <v>1.0000000000000019E-2</v>
      </c>
      <c r="BA11" s="13">
        <v>0.01</v>
      </c>
      <c r="BB11" s="13">
        <v>0.01</v>
      </c>
      <c r="BC11" s="13">
        <v>0.01</v>
      </c>
      <c r="BD11" s="13">
        <v>0.01</v>
      </c>
      <c r="BE11" s="13">
        <v>0.01</v>
      </c>
      <c r="BF11" s="13">
        <v>0.01</v>
      </c>
      <c r="BG11" s="13">
        <v>0.01</v>
      </c>
      <c r="BH11" s="13">
        <v>1.0000000000000011E-2</v>
      </c>
      <c r="BI11" s="13">
        <v>2.862073564891426E-2</v>
      </c>
      <c r="BJ11" s="13">
        <v>1.0000000000000011E-2</v>
      </c>
      <c r="BK11" s="13">
        <v>0.01</v>
      </c>
      <c r="BL11" s="13">
        <v>1.0000000000000011E-2</v>
      </c>
      <c r="BM11" s="13">
        <v>0.01</v>
      </c>
      <c r="BN11" s="13">
        <v>0.01</v>
      </c>
      <c r="BO11" s="13">
        <v>0.01</v>
      </c>
      <c r="BP11" s="13">
        <v>0.01</v>
      </c>
      <c r="BQ11" s="13">
        <v>0.01</v>
      </c>
      <c r="BR11" s="13">
        <v>2.189463510976674E-2</v>
      </c>
      <c r="BS11" s="13">
        <v>0.01</v>
      </c>
      <c r="BT11" s="13">
        <v>0.01</v>
      </c>
    </row>
  </sheetData>
  <mergeCells count="10">
    <mergeCell ref="BK3:BT3"/>
    <mergeCell ref="A5:A6"/>
    <mergeCell ref="A7:A8"/>
    <mergeCell ref="A9:A10"/>
    <mergeCell ref="C3:L3"/>
    <mergeCell ref="M3:V3"/>
    <mergeCell ref="W3:AF3"/>
    <mergeCell ref="AG3:AP3"/>
    <mergeCell ref="AQ3:AZ3"/>
    <mergeCell ref="BA3:B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52E2E-552E-4875-BBC7-1A0F780760F1}">
  <dimension ref="A1:H8"/>
  <sheetViews>
    <sheetView tabSelected="1" workbookViewId="0">
      <selection activeCell="H15" sqref="H15"/>
    </sheetView>
  </sheetViews>
  <sheetFormatPr baseColWidth="10" defaultRowHeight="14.4" x14ac:dyDescent="0.3"/>
  <cols>
    <col min="1" max="1" width="22.21875" bestFit="1" customWidth="1"/>
  </cols>
  <sheetData>
    <row r="1" spans="1:8" x14ac:dyDescent="0.3">
      <c r="A1" t="s">
        <v>88</v>
      </c>
    </row>
    <row r="2" spans="1:8" x14ac:dyDescent="0.3">
      <c r="B2" s="7" t="s">
        <v>80</v>
      </c>
      <c r="C2" s="7"/>
      <c r="D2" s="7" t="s">
        <v>84</v>
      </c>
      <c r="E2" s="7"/>
      <c r="F2" s="7" t="s">
        <v>89</v>
      </c>
      <c r="G2" s="7"/>
      <c r="H2" s="11" t="s">
        <v>83</v>
      </c>
    </row>
    <row r="3" spans="1:8" x14ac:dyDescent="0.3">
      <c r="B3" s="11" t="s">
        <v>81</v>
      </c>
      <c r="C3" s="11" t="s">
        <v>82</v>
      </c>
      <c r="D3" s="11" t="s">
        <v>81</v>
      </c>
      <c r="E3" s="11" t="s">
        <v>82</v>
      </c>
      <c r="F3" s="11" t="s">
        <v>81</v>
      </c>
      <c r="G3" s="11" t="s">
        <v>82</v>
      </c>
      <c r="H3" s="11" t="s">
        <v>85</v>
      </c>
    </row>
    <row r="4" spans="1:8" x14ac:dyDescent="0.3">
      <c r="A4" s="1">
        <v>45658</v>
      </c>
      <c r="B4" s="13">
        <f>+SUMPRODUCT(Rentabilidades!B4:BS4,Pesos!$C$5:$BT$5)</f>
        <v>5.050589722221608E-2</v>
      </c>
      <c r="C4" s="13">
        <f>+SUMPRODUCT(Rentabilidades!B4:BS4,Pesos!$C$6:$BT$6)</f>
        <v>4.5490606249141703E-2</v>
      </c>
      <c r="D4" s="13">
        <f>+SUMPRODUCT(Rentabilidades!B4:BS4,Pesos!$C$7:$BT$7)</f>
        <v>4.0537437374862158E-2</v>
      </c>
      <c r="E4" s="13">
        <f>+SUMPRODUCT(Rentabilidades!B4:BS4,Pesos!$C$8:$BT$8)</f>
        <v>3.3931856054136698E-2</v>
      </c>
      <c r="F4" s="13">
        <f>+SUMPRODUCT(Rentabilidades!B4:BS4,Pesos!$C$9:$BT$9)</f>
        <v>4.1695864975979914E-2</v>
      </c>
      <c r="G4" s="13">
        <f>+SUMPRODUCT(Rentabilidades!B4:BS4,Pesos!$C$10:$BT$10)</f>
        <v>5.2390397062838726E-2</v>
      </c>
      <c r="H4" s="13">
        <f>+SUMPRODUCT(Rentabilidades!B4:BS4,Pesos!$C$11:$BT$11)</f>
        <v>6.3452295995592656E-2</v>
      </c>
    </row>
    <row r="5" spans="1:8" x14ac:dyDescent="0.3">
      <c r="A5" s="1">
        <v>45689</v>
      </c>
      <c r="B5" s="13">
        <f>+SUMPRODUCT(Rentabilidades!B5:BS5,Pesos!$C$5:$BT$5)</f>
        <v>9.5468898994994708E-3</v>
      </c>
      <c r="C5" s="13">
        <f>+SUMPRODUCT(Rentabilidades!B5:BS5,Pesos!$C$6:$BT$6)</f>
        <v>1.7782531070460961E-2</v>
      </c>
      <c r="D5" s="13">
        <f>+SUMPRODUCT(Rentabilidades!B5:BS5,Pesos!$C$7:$BT$7)</f>
        <v>3.2196454010602672E-3</v>
      </c>
      <c r="E5" s="13">
        <f>+SUMPRODUCT(Rentabilidades!B5:BS5,Pesos!$C$8:$BT$8)</f>
        <v>-2.3046293611982089E-2</v>
      </c>
      <c r="F5" s="13">
        <f>+SUMPRODUCT(Rentabilidades!B5:BS5,Pesos!$C$9:$BT$9)</f>
        <v>3.7262680884486664E-2</v>
      </c>
      <c r="G5" s="13">
        <f>+SUMPRODUCT(Rentabilidades!B5:BS5,Pesos!$C$10:$BT$10)</f>
        <v>-1.5766657540684622E-2</v>
      </c>
      <c r="H5" s="13">
        <f>+SUMPRODUCT(Rentabilidades!B5:BS5,Pesos!$C$11:$BT$11)</f>
        <v>2.3408242997255684E-2</v>
      </c>
    </row>
    <row r="6" spans="1:8" x14ac:dyDescent="0.3">
      <c r="A6" s="1">
        <v>45717</v>
      </c>
      <c r="B6" s="13">
        <f>+SUMPRODUCT(Rentabilidades!B6:BS6,Pesos!$C$5:$BT$5)</f>
        <v>6.2816018912982873E-3</v>
      </c>
      <c r="C6" s="13">
        <f>+SUMPRODUCT(Rentabilidades!B6:BS6,Pesos!$C$6:$BT$6)</f>
        <v>-1.1687164993371696E-2</v>
      </c>
      <c r="D6" s="13">
        <f>+SUMPRODUCT(Rentabilidades!B6:BS6,Pesos!$C$7:$BT$7)</f>
        <v>1.0921627026770195E-2</v>
      </c>
      <c r="E6" s="13">
        <f>+SUMPRODUCT(Rentabilidades!B6:BS6,Pesos!$C$8:$BT$8)</f>
        <v>-2.2340744965883716E-2</v>
      </c>
      <c r="F6" s="13">
        <f>+SUMPRODUCT(Rentabilidades!B6:BS6,Pesos!$C$9:$BT$9)</f>
        <v>-1.6778633485991505E-2</v>
      </c>
      <c r="G6" s="13">
        <f>+SUMPRODUCT(Rentabilidades!B6:BS6,Pesos!$C$10:$BT$10)</f>
        <v>-1.2092845062397039E-2</v>
      </c>
      <c r="H6" s="13">
        <f>+SUMPRODUCT(Rentabilidades!B6:BS6,Pesos!$C$11:$BT$11)</f>
        <v>-1.1814789647908703E-2</v>
      </c>
    </row>
    <row r="7" spans="1:8" x14ac:dyDescent="0.3">
      <c r="A7" s="14">
        <v>45748</v>
      </c>
      <c r="B7" s="13">
        <f>+SUMPRODUCT(Rentabilidades!B7:BS7,Pesos!$C$5:$BT$5)</f>
        <v>1.909602950315821E-2</v>
      </c>
      <c r="C7" s="13">
        <f>+SUMPRODUCT(Rentabilidades!B7:BS7,Pesos!$C$6:$BT$6)</f>
        <v>2.1991660689281583E-2</v>
      </c>
      <c r="D7" s="13">
        <f>+SUMPRODUCT(Rentabilidades!B7:BS7,Pesos!$C$7:$BT$7)</f>
        <v>1.7454544998047616E-2</v>
      </c>
      <c r="E7" s="13">
        <f>+SUMPRODUCT(Rentabilidades!B7:BS7,Pesos!$C$8:$BT$8)</f>
        <v>2.1158270400587083E-3</v>
      </c>
      <c r="F7" s="13">
        <f>+SUMPRODUCT(Rentabilidades!B7:BS7,Pesos!$C$9:$BT$9)</f>
        <v>-4.4020693792279275E-3</v>
      </c>
      <c r="G7" s="13">
        <f>+SUMPRODUCT(Rentabilidades!B7:BS7,Pesos!$C$10:$BT$10)</f>
        <v>8.1784975164884391E-4</v>
      </c>
      <c r="H7" s="13">
        <f>+SUMPRODUCT(Rentabilidades!B7:BS7,Pesos!$C$11:$BT$11)</f>
        <v>-3.0806584239553912E-3</v>
      </c>
    </row>
    <row r="8" spans="1:8" x14ac:dyDescent="0.3">
      <c r="A8" s="5" t="s">
        <v>86</v>
      </c>
      <c r="B8" s="17">
        <f>+(((1+B4)*(1+B5)*(1+B6)*(1+B7))^(1/4))-1</f>
        <v>2.1209645134482757E-2</v>
      </c>
      <c r="C8" s="13">
        <f t="shared" ref="C8:H8" si="0">+(((1+C4)*(1+C5)*(1+C6)*(1+C7))^(1/4))-1</f>
        <v>1.8190941062167232E-2</v>
      </c>
      <c r="D8" s="13">
        <f t="shared" si="0"/>
        <v>1.7938547284060746E-2</v>
      </c>
      <c r="E8" s="18">
        <f t="shared" si="0"/>
        <v>-2.6035121247558468E-3</v>
      </c>
      <c r="F8" s="13">
        <f t="shared" si="0"/>
        <v>1.4124433823346605E-2</v>
      </c>
      <c r="G8" s="13">
        <f t="shared" si="0"/>
        <v>5.9734777499707015E-3</v>
      </c>
      <c r="H8" s="13">
        <f t="shared" si="0"/>
        <v>1.7574754698479245E-2</v>
      </c>
    </row>
  </sheetData>
  <mergeCells count="3">
    <mergeCell ref="B2:C2"/>
    <mergeCell ref="D2:E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Rentabilidades</vt:lpstr>
      <vt:lpstr>Pesos</vt:lpstr>
      <vt:lpstr>Resultados por portafolio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Cristóbal Vargas Mella</dc:creator>
  <cp:lastModifiedBy>Cristóbal Vargas Mella</cp:lastModifiedBy>
  <dcterms:created xsi:type="dcterms:W3CDTF">2025-06-22T17:12:08Z</dcterms:created>
  <dcterms:modified xsi:type="dcterms:W3CDTF">2025-06-22T19:04:28Z</dcterms:modified>
</cp:coreProperties>
</file>